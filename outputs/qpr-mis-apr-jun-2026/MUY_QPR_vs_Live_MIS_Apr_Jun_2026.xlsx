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5548ac7f904d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Summary" sheetId="1" r:id="R9264f47a138940a6"/>
    <x:sheet xmlns:r="http://schemas.openxmlformats.org/officeDocument/2006/relationships" name="Q1 Reconciliation" sheetId="2" r:id="R89f9bf3df0284384"/>
    <x:sheet xmlns:r="http://schemas.openxmlformats.org/officeDocument/2006/relationships" name="Monthly Detail" sheetId="3" r:id="R0c1a5248fbfb47b6"/>
    <x:sheet xmlns:r="http://schemas.openxmlformats.org/officeDocument/2006/relationships" name="Method &amp; Sources" sheetId="4" r:id="Rbd42bd7b456140e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;[Red]-#,##0"/>
  </x:numFmts>
  <x:fonts count="15">
    <x:font>
      <x:sz val="11"/>
      <x:name val="Carlito"/>
    </x:font>
    <x:font>
      <x:b/>
      <x:sz val="18"/>
      <x:color rgb="FFFFFFFF"/>
      <x:name val="Carlito"/>
    </x:font>
    <x:font>
      <x:i/>
      <x:sz val="10"/>
      <x:color rgb="FF17365D"/>
      <x:name val="Carlito"/>
    </x:font>
    <x:font>
      <x:b/>
      <x:sz val="12"/>
      <x:color rgb="FFFFFFFF"/>
      <x:name val="Carlito"/>
    </x:font>
    <x:font>
      <x:b/>
      <x:sz val="11"/>
      <x:color rgb="FF667085"/>
      <x:name val="Carlito"/>
    </x:font>
    <x:font>
      <x:b/>
      <x:sz val="22"/>
      <x:color rgb="FF17365D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  <x:font>
      <x:i/>
      <x:sz val="11"/>
      <x:color rgb="FFBF6B00"/>
      <x:name val="Carlito"/>
    </x:font>
    <x:font>
      <x:b/>
      <x:sz val="10"/>
      <x:color rgb="FFFFFFFF"/>
      <x:name val="Carlito"/>
    </x:font>
    <x:font>
      <x:sz val="10"/>
      <x:color rgb="FF101828"/>
      <x:name val="Carlito"/>
    </x:font>
    <x:font>
      <x:b/>
      <x:sz val="10"/>
      <x:color rgb="FF107C41"/>
      <x:name val="Carlito"/>
    </x:font>
    <x:font>
      <x:b/>
      <x:sz val="10"/>
      <x:color rgb="FFC00000"/>
      <x:name val="Carlito"/>
    </x:font>
    <x:font>
      <x:sz val="10"/>
      <x:color rgb="FF667085"/>
      <x:name val="Carlito"/>
    </x:font>
    <x:font>
      <x:b/>
      <x:sz val="10"/>
      <x:color rgb="FF17365D"/>
      <x:name val="Carlito"/>
    </x:font>
  </x:fonts>
  <x:fills count="13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0F766E"/>
      </x:patternFill>
    </x:fill>
    <x:fill>
      <x:patternFill patternType="solid">
        <x:fgColor rgb="FFF2F4F7"/>
      </x:patternFill>
    </x:fill>
    <x:fill>
      <x:patternFill patternType="solid">
        <x:fgColor rgb="FFFFFFFF"/>
      </x:patternFill>
    </x:fill>
    <x:fill>
      <x:patternFill patternType="solid">
        <x:fgColor rgb="FF2F75B5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FFF8F4"/>
      </x:patternFill>
    </x:fill>
    <x:fill>
      <x:patternFill patternType="solid">
        <x:fgColor rgb="FFFFF4EF"/>
      </x:patternFill>
    </x:fill>
  </x:fills>
  <x:borders count="9">
    <x:border/>
    <x:border>
      <x:left style="medium">
        <x:color rgb="FFD0D5DD"/>
      </x:left>
      <x:top style="medium">
        <x:color rgb="FFD0D5DD"/>
      </x:top>
    </x:border>
    <x:border>
      <x:right style="medium">
        <x:color rgb="FFD0D5DD"/>
      </x:right>
      <x:top style="medium">
        <x:color rgb="FFD0D5DD"/>
      </x:top>
    </x:border>
    <x:border>
      <x:left style="medium">
        <x:color rgb="FFD0D5DD"/>
      </x:left>
      <x:bottom style="medium">
        <x:color rgb="FFD0D5DD"/>
      </x:bottom>
    </x:border>
    <x:border>
      <x:right style="medium">
        <x:color rgb="FFD0D5DD"/>
      </x:right>
      <x:bottom style="medium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BF6B00"/>
      </x:left>
      <x:top style="thin">
        <x:color rgb="FFBF6B00"/>
      </x:top>
      <x:bottom style="thin">
        <x:color rgb="FFBF6B00"/>
      </x:bottom>
    </x:border>
    <x:border>
      <x:top style="thin">
        <x:color rgb="FFBF6B00"/>
      </x:top>
      <x:bottom style="thin">
        <x:color rgb="FFBF6B00"/>
      </x:bottom>
    </x:border>
    <x:border>
      <x:right style="thin">
        <x:color rgb="FFBF6B00"/>
      </x:right>
      <x:top style="thin">
        <x:color rgb="FFBF6B00"/>
      </x:top>
      <x:bottom style="thin">
        <x:color rgb="FFBF6B00"/>
      </x:bottom>
    </x:border>
  </x:borders>
  <x:cellStyleXfs count="1">
    <x:xf numFmtId="0" fontId="0" fillId="0" borderId="0"/>
  </x:cellStyleXfs>
  <x:cellXfs count="8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1" xfId="0" applyNumberFormat="1" applyFont="1" applyFill="1" applyBorder="1"/>
    <x:xf numFmtId="0" fontId="5" fillId="6" borderId="2" xfId="0" applyNumberFormat="1" applyFont="1" applyFill="1" applyBorder="1"/>
    <x:xf numFmtId="0" fontId="5" fillId="6" borderId="3" xfId="0" applyNumberFormat="1" applyFont="1" applyFill="1" applyBorder="1"/>
    <x:xf numFmtId="0" fontId="5" fillId="6" borderId="4" xfId="0" applyNumberFormat="1" applyFont="1" applyFill="1" applyBorder="1"/>
    <x:xf numFmtId="0" fontId="5" fillId="6" borderId="1" xfId="0" applyNumberFormat="1" applyFont="1" applyFill="1" applyBorder="1" applyAlignment="1">
      <x:alignment horizontal="center"/>
    </x:xf>
    <x:xf numFmtId="0" fontId="5" fillId="6" borderId="2" xfId="0" applyNumberFormat="1" applyFont="1" applyFill="1" applyBorder="1" applyAlignment="1">
      <x:alignment horizontal="center"/>
    </x:xf>
    <x:xf numFmtId="0" fontId="5" fillId="6" borderId="3" xfId="0" applyNumberFormat="1" applyFont="1" applyFill="1" applyBorder="1" applyAlignment="1">
      <x:alignment horizontal="center"/>
    </x:xf>
    <x:xf numFmtId="0" fontId="5" fillId="6" borderId="4" xfId="0" applyNumberFormat="1" applyFont="1" applyFill="1" applyBorder="1" applyAlignment="1">
      <x:alignment horizontal="center"/>
    </x:xf>
    <x:xf numFmtId="0" fontId="5" fillId="6" borderId="1" xfId="0" applyNumberFormat="1" applyFont="1" applyFill="1" applyBorder="1" applyAlignment="1">
      <x:alignment horizontal="center" vertical="center"/>
    </x:xf>
    <x:xf numFmtId="0" fontId="5" fillId="6" borderId="2" xfId="0" applyNumberFormat="1" applyFont="1" applyFill="1" applyBorder="1" applyAlignment="1">
      <x:alignment horizontal="center" vertical="center"/>
    </x:xf>
    <x:xf numFmtId="0" fontId="5" fillId="6" borderId="3" xfId="0" applyNumberFormat="1" applyFont="1" applyFill="1" applyBorder="1" applyAlignment="1">
      <x:alignment horizontal="center" vertical="center"/>
    </x:xf>
    <x:xf numFmtId="0" fontId="5" fillId="6" borderId="4" xfId="0" applyNumberFormat="1" applyFont="1" applyFill="1" applyBorder="1" applyAlignment="1">
      <x:alignment horizontal="center" vertical="center"/>
    </x:xf>
    <x:xf numFmtId="0" fontId="6" fillId="5" borderId="0" xfId="0" applyNumberFormat="1" applyFont="1" applyFill="1" applyBorder="1"/>
    <x:xf numFmtId="0" fontId="6" fillId="5" borderId="5" xfId="0" applyNumberFormat="1" applyFont="1" applyFill="1" applyBorder="1"/>
    <x:xf numFmtId="0" fontId="6" fillId="5" borderId="5" xfId="0" applyNumberFormat="1" applyFont="1" applyFill="1" applyBorder="1" applyAlignment="1">
      <x:alignment wrapText="1"/>
    </x:xf>
    <x:xf numFmtId="0" fontId="0" fillId="0" borderId="5" xfId="0" applyNumberFormat="1" applyFont="1" applyFill="1" applyBorder="1"/>
    <x:xf numFmtId="0" fontId="0" fillId="0" borderId="5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vertical="center" wrapText="1"/>
    </x:xf>
    <x:xf numFmtId="0" fontId="6" fillId="7" borderId="5" xfId="0" applyNumberFormat="1" applyFont="1" applyFill="1" applyBorder="1" applyAlignment="1">
      <x:alignment wrapText="1"/>
    </x:xf>
    <x:xf numFmtId="0" fontId="0" fillId="7" borderId="5" xfId="0" applyNumberFormat="1" applyFont="1" applyFill="1" applyBorder="1" applyAlignment="1">
      <x:alignment vertical="center" wrapText="1"/>
    </x:xf>
    <x:xf numFmtId="0" fontId="7" fillId="7" borderId="5" xfId="0" applyNumberFormat="1" applyFont="1" applyFill="1" applyBorder="1" applyAlignment="1">
      <x:alignment wrapText="1"/>
    </x:xf>
    <x:xf numFmtId="0" fontId="7" fillId="7" borderId="5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8" fillId="8" borderId="6" xfId="0" applyNumberFormat="1" applyFont="1" applyFill="1" applyBorder="1"/>
    <x:xf numFmtId="0" fontId="8" fillId="8" borderId="7" xfId="0" applyNumberFormat="1" applyFont="1" applyFill="1" applyBorder="1"/>
    <x:xf numFmtId="0" fontId="8" fillId="8" borderId="8" xfId="0" applyNumberFormat="1" applyFont="1" applyFill="1" applyBorder="1"/>
    <x:xf numFmtId="0" fontId="8" fillId="8" borderId="6" xfId="0" applyNumberFormat="1" applyFont="1" applyFill="1" applyBorder="1" applyAlignment="1">
      <x:alignment wrapText="1"/>
    </x:xf>
    <x:xf numFmtId="0" fontId="8" fillId="8" borderId="7" xfId="0" applyNumberFormat="1" applyFont="1" applyFill="1" applyBorder="1" applyAlignment="1">
      <x:alignment wrapText="1"/>
    </x:xf>
    <x:xf numFmtId="0" fontId="8" fillId="8" borderId="8" xfId="0" applyNumberFormat="1" applyFont="1" applyFill="1" applyBorder="1" applyAlignment="1">
      <x:alignment wrapText="1"/>
    </x:xf>
    <x:xf numFmtId="0" fontId="8" fillId="8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9" fillId="7" borderId="0" xfId="0" applyNumberFormat="1" applyFont="1" applyFill="1" applyBorder="1"/>
    <x:xf numFmtId="0" fontId="9" fillId="7" borderId="5" xfId="0" applyNumberFormat="1" applyFont="1" applyFill="1" applyBorder="1"/>
    <x:xf numFmtId="0" fontId="9" fillId="7" borderId="5" xfId="0" applyNumberFormat="1" applyFont="1" applyFill="1" applyBorder="1" applyAlignment="1">
      <x:alignment wrapText="1"/>
    </x:xf>
    <x:xf numFmtId="0" fontId="9" fillId="7" borderId="5" xfId="0" applyNumberFormat="1" applyFont="1" applyFill="1" applyBorder="1" applyAlignment="1">
      <x:alignment horizontal="center" wrapText="1"/>
    </x:xf>
    <x:xf numFmtId="0" fontId="9" fillId="7" borderId="5" xfId="0" applyNumberFormat="1" applyFont="1" applyFill="1" applyBorder="1" applyAlignment="1">
      <x:alignment horizontal="center" vertical="center" wrapText="1"/>
    </x:xf>
    <x:xf numFmtId="0" fontId="10" fillId="0" borderId="0" xfId="0" applyNumberFormat="1" applyFont="1" applyFill="1" applyBorder="1"/>
    <x:xf numFmtId="0" fontId="10" fillId="0" borderId="5" xfId="0" applyNumberFormat="1" applyFont="1" applyFill="1" applyBorder="1"/>
    <x:xf numFmtId="0" fontId="10" fillId="0" borderId="5" xfId="0" applyNumberFormat="1" applyFont="1" applyFill="1" applyBorder="1" applyAlignment="1">
      <x:alignment wrapText="1"/>
    </x:xf>
    <x:xf numFmtId="0" fontId="10" fillId="0" borderId="5" xfId="0" applyNumberFormat="1" applyFont="1" applyFill="1" applyBorder="1" applyAlignment="1">
      <x:alignment vertical="top" wrapText="1"/>
    </x:xf>
    <x:xf numFmtId="0" fontId="10" fillId="9" borderId="5" xfId="0" applyNumberFormat="1" applyFont="1" applyFill="1" applyBorder="1" applyAlignment="1">
      <x:alignment vertical="top" wrapText="1"/>
    </x:xf>
    <x:xf numFmtId="0" fontId="11" fillId="9" borderId="5" xfId="0" applyNumberFormat="1" applyFont="1" applyFill="1" applyBorder="1" applyAlignment="1">
      <x:alignment vertical="top" wrapText="1"/>
    </x:xf>
    <x:xf numFmtId="0" fontId="11" fillId="9" borderId="5" xfId="0" applyNumberFormat="1" applyFont="1" applyFill="1" applyBorder="1" applyAlignment="1">
      <x:alignment horizontal="center" vertical="top" wrapText="1"/>
    </x:xf>
    <x:xf numFmtId="0" fontId="10" fillId="10" borderId="5" xfId="0" applyNumberFormat="1" applyFont="1" applyFill="1" applyBorder="1" applyAlignment="1">
      <x:alignment vertical="top" wrapText="1"/>
    </x:xf>
    <x:xf numFmtId="0" fontId="12" fillId="10" borderId="5" xfId="0" applyNumberFormat="1" applyFont="1" applyFill="1" applyBorder="1" applyAlignment="1">
      <x:alignment vertical="top" wrapText="1"/>
    </x:xf>
    <x:xf numFmtId="0" fontId="12" fillId="10" borderId="5" xfId="0" applyNumberFormat="1" applyFont="1" applyFill="1" applyBorder="1" applyAlignment="1">
      <x:alignment horizontal="center" vertical="top" wrapText="1"/>
    </x:xf>
    <x:xf numFmtId="0" fontId="10" fillId="11" borderId="5" xfId="0" applyNumberFormat="1" applyFont="1" applyFill="1" applyBorder="1" applyAlignment="1">
      <x:alignment vertical="top" wrapText="1"/>
    </x:xf>
    <x:xf numFmtId="0" fontId="12" fillId="11" borderId="5" xfId="0" applyNumberFormat="1" applyFont="1" applyFill="1" applyBorder="1" applyAlignment="1">
      <x:alignment horizontal="center" vertical="top" wrapText="1"/>
    </x:xf>
    <x:xf numFmtId="0" fontId="10" fillId="12" borderId="5" xfId="0" applyNumberFormat="1" applyFont="1" applyFill="1" applyBorder="1" applyAlignment="1">
      <x:alignment vertical="top" wrapText="1"/>
    </x:xf>
    <x:xf numFmtId="0" fontId="12" fillId="12" borderId="5" xfId="0" applyNumberFormat="1" applyFont="1" applyFill="1" applyBorder="1" applyAlignment="1">
      <x:alignment horizontal="center" vertical="top" wrapText="1"/>
    </x:xf>
    <x:xf numFmtId="200" fontId="10" fillId="0" borderId="5" xfId="0" applyNumberFormat="1" applyFont="1" applyFill="1" applyBorder="1" applyAlignment="1">
      <x:alignment vertical="top" wrapText="1"/>
    </x:xf>
    <x:xf numFmtId="200" fontId="10" fillId="11" borderId="5" xfId="0" applyNumberFormat="1" applyFont="1" applyFill="1" applyBorder="1" applyAlignment="1">
      <x:alignment vertical="top" wrapText="1"/>
    </x:xf>
    <x:xf numFmtId="200" fontId="10" fillId="12" borderId="5" xfId="0" applyNumberFormat="1" applyFont="1" applyFill="1" applyBorder="1" applyAlignment="1">
      <x:alignment vertical="top" wrapText="1"/>
    </x:xf>
    <x:xf numFmtId="0" fontId="10" fillId="0" borderId="5" xfId="0" applyNumberFormat="1" applyFont="1" applyFill="1" applyBorder="1" applyAlignment="1">
      <x:alignment horizontal="center" vertical="top" wrapText="1"/>
    </x:xf>
    <x:xf numFmtId="0" fontId="10" fillId="11" borderId="5" xfId="0" applyNumberFormat="1" applyFont="1" applyFill="1" applyBorder="1" applyAlignment="1">
      <x:alignment horizontal="center" vertical="top" wrapText="1"/>
    </x:xf>
    <x:xf numFmtId="0" fontId="10" fillId="12" borderId="5" xfId="0" applyNumberFormat="1" applyFont="1" applyFill="1" applyBorder="1" applyAlignment="1">
      <x:alignment horizontal="center" vertical="top" wrapText="1"/>
    </x:xf>
    <x:xf numFmtId="0" fontId="10" fillId="5" borderId="5" xfId="0" applyNumberFormat="1" applyFont="1" applyFill="1" applyBorder="1" applyAlignment="1">
      <x:alignment vertical="top" wrapText="1"/>
    </x:xf>
    <x:xf numFmtId="0" fontId="13" fillId="5" borderId="5" xfId="0" applyNumberFormat="1" applyFont="1" applyFill="1" applyBorder="1" applyAlignment="1">
      <x:alignment vertical="top" wrapText="1"/>
    </x:xf>
    <x:xf numFmtId="0" fontId="13" fillId="5" borderId="5" xfId="0" applyNumberFormat="1" applyFont="1" applyFill="1" applyBorder="1" applyAlignment="1">
      <x:alignment horizontal="center" vertical="top" wrapText="1"/>
    </x:xf>
    <x:xf numFmtId="200" fontId="13" fillId="5" borderId="5" xfId="0" applyNumberFormat="1" applyFont="1" applyFill="1" applyBorder="1" applyAlignment="1">
      <x:alignment horizontal="center" vertical="top" wrapText="1"/>
    </x:xf>
    <x:xf numFmtId="200" fontId="11" fillId="9" borderId="5" xfId="0" applyNumberFormat="1" applyFont="1" applyFill="1" applyBorder="1" applyAlignment="1">
      <x:alignment horizontal="center" vertical="top" wrapText="1"/>
    </x:xf>
    <x:xf numFmtId="200" fontId="12" fillId="10" borderId="5" xfId="0" applyNumberFormat="1" applyFont="1" applyFill="1" applyBorder="1" applyAlignment="1">
      <x:alignment horizontal="center" vertical="top" wrapText="1"/>
    </x:xf>
    <x:xf numFmtId="0" fontId="14" fillId="5" borderId="5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0aa950f4fe4e5f" /><Relationship Type="http://schemas.openxmlformats.org/officeDocument/2006/relationships/theme" Target="/xl/theme/theme1.xml" Id="Rb97b0dbd5b184525" /><Relationship Type="http://schemas.openxmlformats.org/officeDocument/2006/relationships/sharedStrings" Target="/xl/sharedStrings.xml" Id="R8e74ed8755cc40b9" /><Relationship Type="http://schemas.openxmlformats.org/officeDocument/2006/relationships/worksheet" Target="/xl/worksheets/sheet1.xml" Id="R9264f47a138940a6" /><Relationship Type="http://schemas.openxmlformats.org/officeDocument/2006/relationships/worksheet" Target="/xl/worksheets/sheet2.xml" Id="R89f9bf3df0284384" /><Relationship Type="http://schemas.openxmlformats.org/officeDocument/2006/relationships/worksheet" Target="/xl/worksheets/sheet3.xml" Id="R0c1a5248fbfb47b6" /><Relationship Type="http://schemas.openxmlformats.org/officeDocument/2006/relationships/worksheet" Target="/xl/worksheets/sheet4.xml" Id="Rbd42bd7b456140e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</x:cols>
  <x:sheetData>
    <x:row r="1" ht="34" customHeight="1">
      <x:c r="A1" s="3" t="str">
        <x:v>MUY QPR vs Live MIS — Reconciliation</x:v>
      </x:c>
      <x:c r="B1" s="3" t="str">
        <x:v>MUY QPR vs Live MIS — Reconciliation</x:v>
      </x:c>
      <x:c r="C1" s="3" t="str">
        <x:v>MUY QPR vs Live MIS — Reconciliation</x:v>
      </x:c>
      <x:c r="D1" s="3" t="str">
        <x:v>MUY QPR vs Live MIS — Reconciliation</x:v>
      </x:c>
      <x:c r="E1" s="3" t="str">
        <x:v>MUY QPR vs Live MIS — Reconciliation</x:v>
      </x:c>
      <x:c r="F1" s="3" t="str">
        <x:v>MUY QPR vs Live MIS — Reconciliation</x:v>
      </x:c>
      <x:c r="G1" s="3" t="str">
        <x:v>MUY QPR vs Live MIS — Reconciliation</x:v>
      </x:c>
      <x:c r="H1" s="3" t="str">
        <x:v>MUY QPR vs Live MIS — Reconciliation</x:v>
      </x:c>
      <x:c r="I1" s="3" t="str">
        <x:v>MUY QPR vs Live MIS — Reconciliation</x:v>
      </x:c>
      <x:c r="J1" s="3" t="str">
        <x:v>MUY QPR vs Live MIS — Reconciliation</x:v>
      </x:c>
    </x:row>
    <x:row r="2" ht="30" customHeight="1">
      <x:c r="A2" s="7" t="str">
        <x:v>Q1 FY 2026–27 (April–June 2026) | QPR issued 10 Jul 2026 | Live MIS read 17 Aug 2026, 04:53 PM IST</x:v>
      </x:c>
      <x:c r="B2" s="7" t="str">
        <x:v>Q1 FY 2026–27 (April–June 2026) | QPR issued 10 Jul 2026 | Live MIS read 17 Aug 2026, 04:53 PM IST</x:v>
      </x:c>
      <x:c r="C2" s="7" t="str">
        <x:v>Q1 FY 2026–27 (April–June 2026) | QPR issued 10 Jul 2026 | Live MIS read 17 Aug 2026, 04:53 PM IST</x:v>
      </x:c>
      <x:c r="D2" s="7" t="str">
        <x:v>Q1 FY 2026–27 (April–June 2026) | QPR issued 10 Jul 2026 | Live MIS read 17 Aug 2026, 04:53 PM IST</x:v>
      </x:c>
      <x:c r="E2" s="7" t="str">
        <x:v>Q1 FY 2026–27 (April–June 2026) | QPR issued 10 Jul 2026 | Live MIS read 17 Aug 2026, 04:53 PM IST</x:v>
      </x:c>
      <x:c r="F2" s="7" t="str">
        <x:v>Q1 FY 2026–27 (April–June 2026) | QPR issued 10 Jul 2026 | Live MIS read 17 Aug 2026, 04:53 PM IST</x:v>
      </x:c>
      <x:c r="G2" s="7" t="str">
        <x:v>Q1 FY 2026–27 (April–June 2026) | QPR issued 10 Jul 2026 | Live MIS read 17 Aug 2026, 04:53 PM IST</x:v>
      </x:c>
      <x:c r="H2" s="7" t="str">
        <x:v>Q1 FY 2026–27 (April–June 2026) | QPR issued 10 Jul 2026 | Live MIS read 17 Aug 2026, 04:53 PM IST</x:v>
      </x:c>
      <x:c r="I2" s="7" t="str">
        <x:v>Q1 FY 2026–27 (April–June 2026) | QPR issued 10 Jul 2026 | Live MIS read 17 Aug 2026, 04:53 PM IST</x:v>
      </x:c>
      <x:c r="J2" s="7" t="str">
        <x:v>Q1 FY 2026–27 (April–June 2026) | QPR issued 10 Jul 2026 | Live MIS read 17 Aug 2026, 04:53 PM IST</x:v>
      </x:c>
    </x:row>
    <x:row r="4">
      <x:c r="A4" s="9" t="str">
        <x:v>At a glance</x:v>
      </x:c>
      <x:c r="B4" s="9" t="str">
        <x:v>At a glance</x:v>
      </x:c>
      <x:c r="C4" s="9" t="str">
        <x:v>At a glance</x:v>
      </x:c>
      <x:c r="D4" s="9" t="str">
        <x:v>At a glance</x:v>
      </x:c>
      <x:c r="E4" s="9" t="str">
        <x:v>At a glance</x:v>
      </x:c>
      <x:c r="F4" s="9" t="str">
        <x:v>At a glance</x:v>
      </x:c>
      <x:c r="G4" s="9" t="str">
        <x:v>At a glance</x:v>
      </x:c>
      <x:c r="H4" s="9" t="str">
        <x:v>At a glance</x:v>
      </x:c>
      <x:c r="I4" s="9" t="str">
        <x:v>At a glance</x:v>
      </x:c>
      <x:c r="J4" s="9" t="str">
        <x:v>At a glance</x:v>
      </x:c>
    </x:row>
    <x:row r="5">
      <x:c r="A5" s="13" t="str">
        <x:v>Indicators reviewed</x:v>
      </x:c>
      <x:c r="B5" s="13" t="str">
        <x:v>Indicators reviewed</x:v>
      </x:c>
      <x:c r="C5" s="13" t="str">
        <x:v>Q1 exact matches</x:v>
      </x:c>
      <x:c r="D5" s="13" t="str">
        <x:v>Q1 exact matches</x:v>
      </x:c>
      <x:c r="E5" s="13" t="str">
        <x:v>Q1 mismatches</x:v>
      </x:c>
      <x:c r="F5" s="13" t="str">
        <x:v>Q1 mismatches</x:v>
      </x:c>
      <x:c r="G5" s="13" t="str">
        <x:v>Comparable month checks</x:v>
      </x:c>
      <x:c r="H5" s="13" t="str">
        <x:v>Comparable month checks</x:v>
      </x:c>
      <x:c r="I5" s="13" t="str">
        <x:v>Month checks matched</x:v>
      </x:c>
      <x:c r="J5" s="13" t="str">
        <x:v>Month checks matched</x:v>
      </x:c>
    </x:row>
    <x:row r="6">
      <x:c r="A6" s="24" t="n">
        <x:f>COUNTA('Q1 Reconciliation'!$A$7:$A$50)</x:f>
        <x:v>44</x:v>
      </x:c>
      <x:c r="B6" s="25"/>
      <x:c r="C6" s="24" t="n">
        <x:f>COUNTIF('Q1 Reconciliation'!$H$7:$H$50,"Match")</x:f>
        <x:v>27</x:v>
      </x:c>
      <x:c r="D6" s="25"/>
      <x:c r="E6" s="24" t="n">
        <x:f>COUNTIF('Q1 Reconciliation'!$H$7:$H$50,"Mismatch")</x:f>
        <x:v>17</x:v>
      </x:c>
      <x:c r="F6" s="25"/>
      <x:c r="G6" s="24" t="n">
        <x:f>COUNTIF('Monthly Detail'!$E$7:$E$50,"Match")+COUNTIF('Monthly Detail'!$E$7:$E$50,"Mismatch")+COUNTIF('Monthly Detail'!$H$7:$H$50,"Match")+COUNTIF('Monthly Detail'!$H$7:$H$50,"Mismatch")+COUNTIF('Monthly Detail'!$K$7:$K$50,"Match")+COUNTIF('Monthly Detail'!$K$7:$K$50,"Mismatch")</x:f>
        <x:v>12</x:v>
      </x:c>
      <x:c r="H6" s="25"/>
      <x:c r="I6" s="24" t="n">
        <x:f>COUNTIF('Monthly Detail'!$E$7:$E$50,"Match")+COUNTIF('Monthly Detail'!$H$7:$H$50,"Match")+COUNTIF('Monthly Detail'!$K$7:$K$50,"Match")</x:f>
        <x:v>9</x:v>
      </x:c>
      <x:c r="J6" s="25"/>
    </x:row>
    <x:row r="7">
      <x:c r="A7" s="26"/>
      <x:c r="B7" s="27"/>
      <x:c r="C7" s="26"/>
      <x:c r="D7" s="27"/>
      <x:c r="E7" s="26"/>
      <x:c r="F7" s="27"/>
      <x:c r="G7" s="26"/>
      <x:c r="H7" s="27"/>
      <x:c r="I7" s="26"/>
      <x:c r="J7" s="27"/>
    </x:row>
    <x:row r="9">
      <x:c r="A9" s="9" t="str">
        <x:v>Priority findings</x:v>
      </x:c>
      <x:c r="B9" s="9" t="str">
        <x:v>Priority findings</x:v>
      </x:c>
      <x:c r="C9" s="9" t="str">
        <x:v>Priority findings</x:v>
      </x:c>
      <x:c r="D9" s="9" t="str">
        <x:v>Priority findings</x:v>
      </x:c>
      <x:c r="E9" s="9" t="str">
        <x:v>Priority findings</x:v>
      </x:c>
      <x:c r="F9" s="9" t="str">
        <x:v>Priority findings</x:v>
      </x:c>
      <x:c r="G9" s="9" t="str">
        <x:v>Priority findings</x:v>
      </x:c>
      <x:c r="H9" s="9" t="str">
        <x:v>Priority findings</x:v>
      </x:c>
      <x:c r="I9" s="9" t="str">
        <x:v>Priority findings</x:v>
      </x:c>
      <x:c r="J9" s="9" t="str">
        <x:v>Priority findings</x:v>
      </x:c>
    </x:row>
    <x:row r="10" ht="34" customHeight="1">
      <x:c r="A10" s="36" t="str">
        <x:v>Finding</x:v>
      </x:c>
      <x:c r="B10" s="37" t="str">
        <x:v>Detail</x:v>
      </x:c>
      <x:c r="C10" s="37"/>
      <x:c r="D10" s="37"/>
      <x:c r="E10" s="37"/>
      <x:c r="F10" s="37"/>
      <x:c r="G10" s="37"/>
      <x:c r="H10" s="37"/>
      <x:c r="I10" s="37"/>
      <x:c r="J10" s="37"/>
    </x:row>
    <x:row r="11" ht="34" customHeight="1">
      <x:c r="A11" s="30" t="str">
        <x:v>Largest gap</x:v>
      </x:c>
      <x:c r="B11" s="33" t="str">
        <x:v>7.2 Acceleration/co-incubation: QPR 667 vs live MIS Q1 0. This requires a definition/source review, not a simple data correction.</x:v>
      </x:c>
      <x:c r="C11" s="33"/>
      <x:c r="D11" s="33"/>
      <x:c r="E11" s="33"/>
      <x:c r="F11" s="33"/>
      <x:c r="G11" s="33"/>
      <x:c r="H11" s="33"/>
      <x:c r="I11" s="33"/>
      <x:c r="J11" s="33"/>
    </x:row>
    <x:row r="12" ht="34" customHeight="1">
      <x:c r="A12" s="30" t="str">
        <x:v>High post-QPR growth</x:v>
      </x:c>
      <x:c r="B12" s="33" t="str">
        <x:v>12.2 Line-department meetings increased from 19 in QPR to 84 in live Q1 (+65).</x:v>
      </x:c>
      <x:c r="C12" s="33"/>
      <x:c r="D12" s="33"/>
      <x:c r="E12" s="33"/>
      <x:c r="F12" s="33"/>
      <x:c r="G12" s="33"/>
      <x:c r="H12" s="33"/>
      <x:c r="I12" s="33"/>
      <x:c r="J12" s="33"/>
    </x:row>
    <x:row r="13" ht="34" customHeight="1">
      <x:c r="A13" s="30" t="str">
        <x:v>Core pipeline stable</x:v>
      </x:c>
      <x:c r="B13" s="33" t="str">
        <x:v>CFA (18,994), total onboarding (2,847), business registration (1,297), BMC (1,550) and schematic convergence (408) match exactly.</x:v>
      </x:c>
      <x:c r="C13" s="33"/>
      <x:c r="D13" s="33"/>
      <x:c r="E13" s="33"/>
      <x:c r="F13" s="33"/>
      <x:c r="G13" s="33"/>
      <x:c r="H13" s="33"/>
      <x:c r="I13" s="33"/>
      <x:c r="J13" s="33"/>
    </x:row>
    <x:row r="14" ht="34" customHeight="1">
      <x:c r="A14" s="30" t="str">
        <x:v>Small count exceptions</x:v>
      </x:c>
      <x:c r="B14" s="33" t="str">
        <x:v>FSSAI is 173 live vs 175 QPR; REAP support is 28 live vs 22 QPR; district workshops are 15 live vs 13 QPR.</x:v>
      </x:c>
      <x:c r="C14" s="33"/>
      <x:c r="D14" s="33"/>
      <x:c r="E14" s="33"/>
      <x:c r="F14" s="33"/>
      <x:c r="G14" s="33"/>
      <x:c r="H14" s="33"/>
      <x:c r="I14" s="33"/>
      <x:c r="J14" s="33"/>
    </x:row>
    <x:row r="15" ht="34" customHeight="1">
      <x:c r="A15" s="30" t="str">
        <x:v>Monthly limitation</x:v>
      </x:c>
      <x:c r="B15" s="33" t="str">
        <x:v>The QPR publishes month-wise dated evidence for only 4 indicators. Other monthly comparisons are marked “Not reported” rather than inferred.</x:v>
      </x:c>
      <x:c r="C15" s="33"/>
      <x:c r="D15" s="33"/>
      <x:c r="E15" s="33"/>
      <x:c r="F15" s="33"/>
      <x:c r="G15" s="33"/>
      <x:c r="H15" s="33"/>
      <x:c r="I15" s="33"/>
      <x:c r="J15" s="33"/>
    </x:row>
    <x:row r="17">
      <x:c r="A17" s="43" t="str">
        <x:v>Interpretation: “Match” means the QPR achievement equals the live MIS Q1 result under the same FY/quarter scope. Live values may have changed after QPR issuance because approved/backdated records were added or reporting logic evolved.</x:v>
      </x:c>
      <x:c r="B17" s="44" t="str">
        <x:v>Interpretation: “Match” means the QPR achievement equals the live MIS Q1 result under the same FY/quarter scope. Live values may have changed after QPR issuance because approved/backdated records were added or reporting logic evolved.</x:v>
      </x:c>
      <x:c r="C17" s="44" t="str">
        <x:v>Interpretation: “Match” means the QPR achievement equals the live MIS Q1 result under the same FY/quarter scope. Live values may have changed after QPR issuance because approved/backdated records were added or reporting logic evolved.</x:v>
      </x:c>
      <x:c r="D17" s="44" t="str">
        <x:v>Interpretation: “Match” means the QPR achievement equals the live MIS Q1 result under the same FY/quarter scope. Live values may have changed after QPR issuance because approved/backdated records were added or reporting logic evolved.</x:v>
      </x:c>
      <x:c r="E17" s="44" t="str">
        <x:v>Interpretation: “Match” means the QPR achievement equals the live MIS Q1 result under the same FY/quarter scope. Live values may have changed after QPR issuance because approved/backdated records were added or reporting logic evolved.</x:v>
      </x:c>
      <x:c r="F17" s="44" t="str">
        <x:v>Interpretation: “Match” means the QPR achievement equals the live MIS Q1 result under the same FY/quarter scope. Live values may have changed after QPR issuance because approved/backdated records were added or reporting logic evolved.</x:v>
      </x:c>
      <x:c r="G17" s="44" t="str">
        <x:v>Interpretation: “Match” means the QPR achievement equals the live MIS Q1 result under the same FY/quarter scope. Live values may have changed after QPR issuance because approved/backdated records were added or reporting logic evolved.</x:v>
      </x:c>
      <x:c r="H17" s="44" t="str">
        <x:v>Interpretation: “Match” means the QPR achievement equals the live MIS Q1 result under the same FY/quarter scope. Live values may have changed after QPR issuance because approved/backdated records were added or reporting logic evolved.</x:v>
      </x:c>
      <x:c r="I17" s="44" t="str">
        <x:v>Interpretation: “Match” means the QPR achievement equals the live MIS Q1 result under the same FY/quarter scope. Live values may have changed after QPR issuance because approved/backdated records were added or reporting logic evolved.</x:v>
      </x:c>
      <x:c r="J17" s="45" t="str">
        <x:v>Interpretation: “Match” means the QPR achievement equals the live MIS Q1 result under the same FY/quarter scope. Live values may have changed after QPR issuance because approved/backdated records were added or reporting logic evolved.</x:v>
      </x:c>
    </x:row>
  </x:sheetData>
  <x:mergeCells>
    <x:mergeCell ref="A1:J1"/>
    <x:mergeCell ref="A2:J2"/>
    <x:mergeCell ref="A4:J4"/>
    <x:mergeCell ref="A5:B5"/>
    <x:mergeCell ref="A6:B7"/>
    <x:mergeCell ref="C5:D5"/>
    <x:mergeCell ref="C6:D7"/>
    <x:mergeCell ref="E5:F5"/>
    <x:mergeCell ref="E6:F7"/>
    <x:mergeCell ref="G5:H5"/>
    <x:mergeCell ref="G6:H7"/>
    <x:mergeCell ref="I5:J5"/>
    <x:mergeCell ref="I6:J7"/>
    <x:mergeCell ref="A9:J9"/>
    <x:mergeCell ref="B10:J10"/>
    <x:mergeCell ref="B11:J11"/>
    <x:mergeCell ref="B12:J12"/>
    <x:mergeCell ref="B13:J13"/>
    <x:mergeCell ref="B14:J14"/>
    <x:mergeCell ref="B15:J15"/>
    <x:mergeCell ref="A17:J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40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0" hidden="0" customWidth="1"/>
    <x:col min="10" max="10" width="44" hidden="0" customWidth="1"/>
  </x:cols>
  <x:sheetData>
    <x:row r="1" ht="34" customHeight="1">
      <x:c r="A1" s="3" t="str">
        <x:v>Q1 Reconciliation — QPR vs Live MIS</x:v>
      </x:c>
      <x:c r="B1" s="3" t="str">
        <x:v>Q1 Reconciliation — QPR vs Live MIS</x:v>
      </x:c>
      <x:c r="C1" s="3" t="str">
        <x:v>Q1 Reconciliation — QPR vs Live MIS</x:v>
      </x:c>
      <x:c r="D1" s="3" t="str">
        <x:v>Q1 Reconciliation — QPR vs Live MIS</x:v>
      </x:c>
      <x:c r="E1" s="3" t="str">
        <x:v>Q1 Reconciliation — QPR vs Live MIS</x:v>
      </x:c>
      <x:c r="F1" s="3" t="str">
        <x:v>Q1 Reconciliation — QPR vs Live MIS</x:v>
      </x:c>
      <x:c r="G1" s="3" t="str">
        <x:v>Q1 Reconciliation — QPR vs Live MIS</x:v>
      </x:c>
      <x:c r="H1" s="3" t="str">
        <x:v>Q1 Reconciliation — QPR vs Live MIS</x:v>
      </x:c>
      <x:c r="I1" s="3" t="str">
        <x:v>Q1 Reconciliation — QPR vs Live MIS</x:v>
      </x:c>
      <x:c r="J1" s="3" t="str">
        <x:v>Q1 Reconciliation — QPR vs Live MIS</x:v>
      </x:c>
    </x:row>
    <x:row r="2" ht="30" customHeight="1">
      <x:c r="A2" s="7" t="str">
        <x:v>QPR quantitative table (pp. 3–5) compared with live MIS filter: FY 2026–27 + Q1 (Apr–Jun 2026)</x:v>
      </x:c>
      <x:c r="B2" s="7" t="str">
        <x:v>QPR quantitative table (pp. 3–5) compared with live MIS filter: FY 2026–27 + Q1 (Apr–Jun 2026)</x:v>
      </x:c>
      <x:c r="C2" s="7" t="str">
        <x:v>QPR quantitative table (pp. 3–5) compared with live MIS filter: FY 2026–27 + Q1 (Apr–Jun 2026)</x:v>
      </x:c>
      <x:c r="D2" s="7" t="str">
        <x:v>QPR quantitative table (pp. 3–5) compared with live MIS filter: FY 2026–27 + Q1 (Apr–Jun 2026)</x:v>
      </x:c>
      <x:c r="E2" s="7" t="str">
        <x:v>QPR quantitative table (pp. 3–5) compared with live MIS filter: FY 2026–27 + Q1 (Apr–Jun 2026)</x:v>
      </x:c>
      <x:c r="F2" s="7" t="str">
        <x:v>QPR quantitative table (pp. 3–5) compared with live MIS filter: FY 2026–27 + Q1 (Apr–Jun 2026)</x:v>
      </x:c>
      <x:c r="G2" s="7" t="str">
        <x:v>QPR quantitative table (pp. 3–5) compared with live MIS filter: FY 2026–27 + Q1 (Apr–Jun 2026)</x:v>
      </x:c>
      <x:c r="H2" s="7" t="str">
        <x:v>QPR quantitative table (pp. 3–5) compared with live MIS filter: FY 2026–27 + Q1 (Apr–Jun 2026)</x:v>
      </x:c>
      <x:c r="I2" s="7" t="str">
        <x:v>QPR quantitative table (pp. 3–5) compared with live MIS filter: FY 2026–27 + Q1 (Apr–Jun 2026)</x:v>
      </x:c>
      <x:c r="J2" s="7" t="str">
        <x:v>QPR quantitative table (pp. 3–5) compared with live MIS filter: FY 2026–27 + Q1 (Apr–Jun 2026)</x:v>
      </x:c>
    </x:row>
    <x:row r="4">
      <x:c r="A4" s="46" t="str">
        <x:v>Live data snapshot: 17 Aug 2026, 04:53 PM IST | Variance = Live MIS Q1 − QPR achievement</x:v>
      </x:c>
      <x:c r="B4" s="46" t="str">
        <x:v>Live data snapshot: 17 Aug 2026, 04:53 PM IST | Variance = Live MIS Q1 − QPR achievement</x:v>
      </x:c>
      <x:c r="C4" s="46" t="str">
        <x:v>Live data snapshot: 17 Aug 2026, 04:53 PM IST | Variance = Live MIS Q1 − QPR achievement</x:v>
      </x:c>
      <x:c r="D4" s="46" t="str">
        <x:v>Live data snapshot: 17 Aug 2026, 04:53 PM IST | Variance = Live MIS Q1 − QPR achievement</x:v>
      </x:c>
      <x:c r="E4" s="46" t="str">
        <x:v>Live data snapshot: 17 Aug 2026, 04:53 PM IST | Variance = Live MIS Q1 − QPR achievement</x:v>
      </x:c>
      <x:c r="F4" s="46" t="str">
        <x:v>Live data snapshot: 17 Aug 2026, 04:53 PM IST | Variance = Live MIS Q1 − QPR achievement</x:v>
      </x:c>
      <x:c r="G4" s="46" t="str">
        <x:v>Live data snapshot: 17 Aug 2026, 04:53 PM IST | Variance = Live MIS Q1 − QPR achievement</x:v>
      </x:c>
      <x:c r="H4" s="46" t="str">
        <x:v>Live data snapshot: 17 Aug 2026, 04:53 PM IST | Variance = Live MIS Q1 − QPR achievement</x:v>
      </x:c>
      <x:c r="I4" s="46" t="str">
        <x:v>Live data snapshot: 17 Aug 2026, 04:53 PM IST | Variance = Live MIS Q1 − QPR achievement</x:v>
      </x:c>
      <x:c r="J4" s="46" t="str">
        <x:v>Live data snapshot: 17 Aug 2026, 04:53 PM IST | Variance = Live MIS Q1 − QPR achievement</x:v>
      </x:c>
    </x:row>
    <x:row r="6" ht="30" customHeight="1">
      <x:c r="A6" s="52" t="str">
        <x:v>S.N.</x:v>
      </x:c>
      <x:c r="B6" s="52" t="str">
        <x:v>Indicator</x:v>
      </x:c>
      <x:c r="C6" s="52" t="str">
        <x:v>Type</x:v>
      </x:c>
      <x:c r="D6" s="52" t="str">
        <x:v>QPR Target</x:v>
      </x:c>
      <x:c r="E6" s="52" t="str">
        <x:v>QPR Achievement</x:v>
      </x:c>
      <x:c r="F6" s="52" t="str">
        <x:v>Live MIS Q1</x:v>
      </x:c>
      <x:c r="G6" s="52" t="str">
        <x:v>Variance</x:v>
      </x:c>
      <x:c r="H6" s="52" t="str">
        <x:v>Status</x:v>
      </x:c>
      <x:c r="I6" s="52" t="str">
        <x:v>QPR page</x:v>
      </x:c>
      <x:c r="J6" s="52" t="str">
        <x:v>Finding / interpretation</x:v>
      </x:c>
    </x:row>
    <x:row r="7" ht="15" hidden="0" customHeight="1">
      <x:c r="A7" s="70" t="str">
        <x:v>1.1</x:v>
      </x:c>
      <x:c r="B7" s="56" t="str">
        <x:v>Call for Application</x:v>
      </x:c>
      <x:c r="C7" s="70" t="str">
        <x:v>Key Indicator</x:v>
      </x:c>
      <x:c r="D7" s="67" t="n">
        <x:v>15190</x:v>
      </x:c>
      <x:c r="E7" s="67" t="n">
        <x:v>18994</x:v>
      </x:c>
      <x:c r="F7" s="67" t="n">
        <x:v>18994</x:v>
      </x:c>
      <x:c r="G7" s="67" t="n">
        <x:f>F7-E7</x:f>
        <x:v>0</x:v>
      </x:c>
      <x:c r="H7" s="59" t="str">
        <x:f>IF(G7=0,"Match","Mismatch")</x:f>
        <x:v>Match</x:v>
      </x:c>
      <x:c r="I7" s="70" t="n">
        <x:v>3</x:v>
      </x:c>
      <x:c r="J7" s="56" t="str">
        <x:v>Exact Q1 match.</x:v>
      </x:c>
    </x:row>
    <x:row r="8" ht="15" hidden="0" customHeight="1">
      <x:c r="A8" s="71" t="str">
        <x:v>1.2</x:v>
      </x:c>
      <x:c r="B8" s="63" t="str">
        <x:v>District Level Workshops</x:v>
      </x:c>
      <x:c r="C8" s="71" t="str">
        <x:v>Key Indicator</x:v>
      </x:c>
      <x:c r="D8" s="68" t="n">
        <x:v>13</x:v>
      </x:c>
      <x:c r="E8" s="68" t="n">
        <x:v>13</x:v>
      </x:c>
      <x:c r="F8" s="68" t="n">
        <x:v>15</x:v>
      </x:c>
      <x:c r="G8" s="68" t="n">
        <x:f>F8-E8</x:f>
        <x:v>2</x:v>
      </x:c>
      <x:c r="H8" s="64" t="str">
        <x:f>IF(G8=0,"Match","Mismatch")</x:f>
        <x:v>Mismatch</x:v>
      </x:c>
      <x:c r="I8" s="71" t="n">
        <x:v>3</x:v>
      </x:c>
      <x:c r="J8" s="63" t="str">
        <x:v>Live MIS contains 2 additional June workshops.</x:v>
      </x:c>
    </x:row>
    <x:row r="9" ht="24" hidden="0" customHeight="1">
      <x:c r="A9" s="72" t="str">
        <x:v>1.3</x:v>
      </x:c>
      <x:c r="B9" s="65" t="str">
        <x:v>Awareness cum Outreach activities for SHG members/Potential Lakhpati Didis/SHGs/CBOs</x:v>
      </x:c>
      <x:c r="C9" s="72" t="str">
        <x:v>Non-Key</x:v>
      </x:c>
      <x:c r="D9" s="69" t="n">
        <x:v>254</x:v>
      </x:c>
      <x:c r="E9" s="69" t="n">
        <x:v>472</x:v>
      </x:c>
      <x:c r="F9" s="69" t="n">
        <x:v>500</x:v>
      </x:c>
      <x:c r="G9" s="69" t="n">
        <x:f>F9-E9</x:f>
        <x:v>28</x:v>
      </x:c>
      <x:c r="H9" s="66" t="str">
        <x:f>IF(G9=0,"Match","Mismatch")</x:f>
        <x:v>Mismatch</x:v>
      </x:c>
      <x:c r="I9" s="72" t="n">
        <x:v>3</x:v>
      </x:c>
      <x:c r="J9" s="65" t="str">
        <x:v>28 more activities are now in live MIS.</x:v>
      </x:c>
    </x:row>
    <x:row r="10" ht="15" hidden="0" customHeight="1">
      <x:c r="A10" s="71" t="str">
        <x:v>1.3.1</x:v>
      </x:c>
      <x:c r="B10" s="63" t="str">
        <x:v>Participants in Awareness cum Outreach activities</x:v>
      </x:c>
      <x:c r="C10" s="71" t="str">
        <x:v>Non-Key</x:v>
      </x:c>
      <x:c r="D10" s="68" t="n">
        <x:v>1620</x:v>
      </x:c>
      <x:c r="E10" s="68" t="n">
        <x:v>7770</x:v>
      </x:c>
      <x:c r="F10" s="68" t="n">
        <x:v>8022</x:v>
      </x:c>
      <x:c r="G10" s="68" t="n">
        <x:f>F10-E10</x:f>
        <x:v>252</x:v>
      </x:c>
      <x:c r="H10" s="64" t="str">
        <x:f>IF(G10=0,"Match","Mismatch")</x:f>
        <x:v>Mismatch</x:v>
      </x:c>
      <x:c r="I10" s="71" t="n">
        <x:v>3</x:v>
      </x:c>
      <x:c r="J10" s="63" t="str">
        <x:v>252 more participants are now in live MIS.</x:v>
      </x:c>
    </x:row>
    <x:row r="11" ht="15" hidden="0" customHeight="1">
      <x:c r="A11" s="70" t="str">
        <x:v>1.4</x:v>
      </x:c>
      <x:c r="B11" s="56" t="str">
        <x:v>EAP/EDP Sessions</x:v>
      </x:c>
      <x:c r="C11" s="70" t="str">
        <x:v>Key Indicator</x:v>
      </x:c>
      <x:c r="D11" s="67" t="n">
        <x:v>39</x:v>
      </x:c>
      <x:c r="E11" s="67" t="n">
        <x:v>86</x:v>
      </x:c>
      <x:c r="F11" s="67" t="n">
        <x:v>86</x:v>
      </x:c>
      <x:c r="G11" s="67" t="n">
        <x:f>F11-E11</x:f>
        <x:v>0</x:v>
      </x:c>
      <x:c r="H11" s="59" t="str">
        <x:f>IF(G11=0,"Match","Mismatch")</x:f>
        <x:v>Match</x:v>
      </x:c>
      <x:c r="I11" s="70" t="n">
        <x:v>3</x:v>
      </x:c>
      <x:c r="J11" s="56" t="str">
        <x:v>Exact Q1 and month-wise match.</x:v>
      </x:c>
    </x:row>
    <x:row r="12" ht="15" hidden="0" customHeight="1">
      <x:c r="A12" s="71" t="str">
        <x:v>1.5</x:v>
      </x:c>
      <x:c r="B12" s="63" t="str">
        <x:v>Outreach through Community Organizations</x:v>
      </x:c>
      <x:c r="C12" s="71" t="str">
        <x:v>Non-Key</x:v>
      </x:c>
      <x:c r="D12" s="68" t="n">
        <x:v>4</x:v>
      </x:c>
      <x:c r="E12" s="68" t="n">
        <x:v>8</x:v>
      </x:c>
      <x:c r="F12" s="68" t="n">
        <x:v>10</x:v>
      </x:c>
      <x:c r="G12" s="68" t="n">
        <x:f>F12-E12</x:f>
        <x:v>2</x:v>
      </x:c>
      <x:c r="H12" s="64" t="str">
        <x:f>IF(G12=0,"Match","Mismatch")</x:f>
        <x:v>Mismatch</x:v>
      </x:c>
      <x:c r="I12" s="71" t="n">
        <x:v>3</x:v>
      </x:c>
      <x:c r="J12" s="63" t="str">
        <x:v>2 additional activities are in live MIS.</x:v>
      </x:c>
    </x:row>
    <x:row r="13" ht="15" hidden="0" customHeight="1">
      <x:c r="A13" s="70" t="str">
        <x:v>2.1</x:v>
      </x:c>
      <x:c r="B13" s="56" t="str">
        <x:v>Incubatees Onboarded</x:v>
      </x:c>
      <x:c r="C13" s="70" t="str">
        <x:v>Key Indicator</x:v>
      </x:c>
      <x:c r="D13" s="67" t="n">
        <x:v>1900</x:v>
      </x:c>
      <x:c r="E13" s="67" t="n">
        <x:v>2847</x:v>
      </x:c>
      <x:c r="F13" s="67" t="n">
        <x:v>2847</x:v>
      </x:c>
      <x:c r="G13" s="67" t="n">
        <x:f>F13-E13</x:f>
        <x:v>0</x:v>
      </x:c>
      <x:c r="H13" s="59" t="str">
        <x:f>IF(G13=0,"Match","Mismatch")</x:f>
        <x:v>Match</x:v>
      </x:c>
      <x:c r="I13" s="70" t="n">
        <x:v>3</x:v>
      </x:c>
      <x:c r="J13" s="56" t="str">
        <x:v>Exact Q1 match.</x:v>
      </x:c>
    </x:row>
    <x:row r="14" ht="24" hidden="0" customHeight="1">
      <x:c r="A14" s="71" t="str">
        <x:v>2.1.1</x:v>
      </x:c>
      <x:c r="B14" s="63" t="str">
        <x:v>Onboarding of Potential Lakhpati Didi/SHG Members/CBOs</x:v>
      </x:c>
      <x:c r="C14" s="71" t="str">
        <x:v>Key Indicator</x:v>
      </x:c>
      <x:c r="D14" s="68" t="n">
        <x:v>525</x:v>
      </x:c>
      <x:c r="E14" s="68" t="n">
        <x:v>1205</x:v>
      </x:c>
      <x:c r="F14" s="68" t="n">
        <x:v>1246</x:v>
      </x:c>
      <x:c r="G14" s="68" t="n">
        <x:f>F14-E14</x:f>
        <x:v>41</x:v>
      </x:c>
      <x:c r="H14" s="64" t="str">
        <x:f>IF(G14=0,"Match","Mismatch")</x:f>
        <x:v>Mismatch</x:v>
      </x:c>
      <x:c r="I14" s="71" t="n">
        <x:v>3</x:v>
      </x:c>
      <x:c r="J14" s="63" t="str">
        <x:v>41 more qualifying onboardings are now in live MIS.</x:v>
      </x:c>
    </x:row>
    <x:row r="15" ht="15" hidden="0" customHeight="1">
      <x:c r="A15" s="72" t="str">
        <x:v>3.1</x:v>
      </x:c>
      <x:c r="B15" s="65" t="str">
        <x:v>Business Skills Training Sessions</x:v>
      </x:c>
      <x:c r="C15" s="72" t="str">
        <x:v>Key Indicator</x:v>
      </x:c>
      <x:c r="D15" s="69" t="n">
        <x:v>52</x:v>
      </x:c>
      <x:c r="E15" s="69" t="n">
        <x:v>49</x:v>
      </x:c>
      <x:c r="F15" s="69" t="n">
        <x:v>53</x:v>
      </x:c>
      <x:c r="G15" s="69" t="n">
        <x:f>F15-E15</x:f>
        <x:v>4</x:v>
      </x:c>
      <x:c r="H15" s="66" t="str">
        <x:f>IF(G15=0,"Match","Mismatch")</x:f>
        <x:v>Mismatch</x:v>
      </x:c>
      <x:c r="I15" s="72" t="n">
        <x:v>3</x:v>
      </x:c>
      <x:c r="J15" s="65" t="str">
        <x:v>4 more sessions are now in live MIS.</x:v>
      </x:c>
    </x:row>
    <x:row r="16" ht="24" hidden="0" customHeight="1">
      <x:c r="A16" s="71" t="str">
        <x:v>3.2</x:v>
      </x:c>
      <x:c r="B16" s="63" t="str">
        <x:v>Incubatees taken Part in Business Modules Training</x:v>
      </x:c>
      <x:c r="C16" s="71" t="str">
        <x:v>Non-Key</x:v>
      </x:c>
      <x:c r="D16" s="68" t="n">
        <x:v>1200</x:v>
      </x:c>
      <x:c r="E16" s="68" t="n">
        <x:v>1337</x:v>
      </x:c>
      <x:c r="F16" s="68" t="n">
        <x:v>1513</x:v>
      </x:c>
      <x:c r="G16" s="68" t="n">
        <x:f>F16-E16</x:f>
        <x:v>176</x:v>
      </x:c>
      <x:c r="H16" s="64" t="str">
        <x:f>IF(G16=0,"Match","Mismatch")</x:f>
        <x:v>Mismatch</x:v>
      </x:c>
      <x:c r="I16" s="71" t="n">
        <x:v>3</x:v>
      </x:c>
      <x:c r="J16" s="63" t="str">
        <x:v>Live Q1 applies period-level participant logic; month sum is higher due to repeats.</x:v>
      </x:c>
    </x:row>
    <x:row r="17" ht="15" hidden="0" customHeight="1">
      <x:c r="A17" s="70" t="str">
        <x:v>3.3</x:v>
      </x:c>
      <x:c r="B17" s="56" t="str">
        <x:v>Technical Trainings to Incubatees</x:v>
      </x:c>
      <x:c r="C17" s="70" t="str">
        <x:v>Non-Key</x:v>
      </x:c>
      <x:c r="D17" s="67" t="n">
        <x:v>2</x:v>
      </x:c>
      <x:c r="E17" s="67" t="n">
        <x:v>9</x:v>
      </x:c>
      <x:c r="F17" s="67" t="n">
        <x:v>9</x:v>
      </x:c>
      <x:c r="G17" s="67" t="n">
        <x:f>F17-E17</x:f>
        <x:v>0</x:v>
      </x:c>
      <x:c r="H17" s="59" t="str">
        <x:f>IF(G17=0,"Match","Mismatch")</x:f>
        <x:v>Match</x:v>
      </x:c>
      <x:c r="I17" s="70" t="n">
        <x:v>4</x:v>
      </x:c>
      <x:c r="J17" s="56" t="str">
        <x:v>Exact Q1 and month-wise match.</x:v>
      </x:c>
    </x:row>
    <x:row r="18" ht="24" hidden="0" customHeight="1">
      <x:c r="A18" s="71" t="str">
        <x:v>3.3.1</x:v>
      </x:c>
      <x:c r="B18" s="63" t="str">
        <x:v>Technical Trainings to Potential Lakhpati Didis/SHG Members/CBOs</x:v>
      </x:c>
      <x:c r="C18" s="71" t="str">
        <x:v>Non-Key</x:v>
      </x:c>
      <x:c r="D18" s="68" t="str">
        <x:v>Need Based</x:v>
      </x:c>
      <x:c r="E18" s="68" t="n">
        <x:v>6</x:v>
      </x:c>
      <x:c r="F18" s="68" t="n">
        <x:v>7</x:v>
      </x:c>
      <x:c r="G18" s="68" t="n">
        <x:f>F18-E18</x:f>
        <x:v>1</x:v>
      </x:c>
      <x:c r="H18" s="64" t="str">
        <x:f>IF(G18=0,"Match","Mismatch")</x:f>
        <x:v>Mismatch</x:v>
      </x:c>
      <x:c r="I18" s="71" t="n">
        <x:v>4</x:v>
      </x:c>
      <x:c r="J18" s="63" t="str">
        <x:v>Live MIS has 1 additional qualifying session.</x:v>
      </x:c>
    </x:row>
    <x:row r="19" ht="24" hidden="0" customHeight="1">
      <x:c r="A19" s="70" t="str">
        <x:v>3.4</x:v>
      </x:c>
      <x:c r="B19" s="56" t="str">
        <x:v>Capacity Building of stakeholders (REAP, USRLM, Other Line department staff)</x:v>
      </x:c>
      <x:c r="C19" s="70" t="str">
        <x:v>Key Indicator</x:v>
      </x:c>
      <x:c r="D19" s="67" t="n">
        <x:v>0</x:v>
      </x:c>
      <x:c r="E19" s="67" t="n">
        <x:v>0</x:v>
      </x:c>
      <x:c r="F19" s="67" t="n">
        <x:v>0</x:v>
      </x:c>
      <x:c r="G19" s="67" t="n">
        <x:f>F19-E19</x:f>
        <x:v>0</x:v>
      </x:c>
      <x:c r="H19" s="59" t="str">
        <x:f>IF(G19=0,"Match","Mismatch")</x:f>
        <x:v>Match</x:v>
      </x:c>
      <x:c r="I19" s="70" t="n">
        <x:v>4</x:v>
      </x:c>
      <x:c r="J19" s="56" t="str">
        <x:v>Exact Q1 match.</x:v>
      </x:c>
    </x:row>
    <x:row r="20" ht="15" hidden="0" customHeight="1">
      <x:c r="A20" s="70" t="str">
        <x:v>4.1.1</x:v>
      </x:c>
      <x:c r="B20" s="56" t="str">
        <x:v>Business Registration</x:v>
      </x:c>
      <x:c r="C20" s="70" t="str">
        <x:v>Key Indicator</x:v>
      </x:c>
      <x:c r="D20" s="67" t="n">
        <x:v>1025</x:v>
      </x:c>
      <x:c r="E20" s="67" t="n">
        <x:v>1297</x:v>
      </x:c>
      <x:c r="F20" s="67" t="n">
        <x:v>1297</x:v>
      </x:c>
      <x:c r="G20" s="67" t="n">
        <x:f>F20-E20</x:f>
        <x:v>0</x:v>
      </x:c>
      <x:c r="H20" s="59" t="str">
        <x:f>IF(G20=0,"Match","Mismatch")</x:f>
        <x:v>Match</x:v>
      </x:c>
      <x:c r="I20" s="70" t="n">
        <x:v>4</x:v>
      </x:c>
      <x:c r="J20" s="56" t="str">
        <x:v>Exact Q1 match.</x:v>
      </x:c>
    </x:row>
    <x:row r="21" ht="15" hidden="0" customHeight="1">
      <x:c r="A21" s="70" t="str">
        <x:v>4.2.1</x:v>
      </x:c>
      <x:c r="B21" s="56" t="str">
        <x:v>Artisan Card</x:v>
      </x:c>
      <x:c r="C21" s="70" t="str">
        <x:v>Key Indicator</x:v>
      </x:c>
      <x:c r="D21" s="67" t="n">
        <x:v>52</x:v>
      </x:c>
      <x:c r="E21" s="67" t="n">
        <x:v>98</x:v>
      </x:c>
      <x:c r="F21" s="67" t="n">
        <x:v>98</x:v>
      </x:c>
      <x:c r="G21" s="67" t="n">
        <x:f>F21-E21</x:f>
        <x:v>0</x:v>
      </x:c>
      <x:c r="H21" s="59" t="str">
        <x:f>IF(G21=0,"Match","Mismatch")</x:f>
        <x:v>Match</x:v>
      </x:c>
      <x:c r="I21" s="70" t="n">
        <x:v>4</x:v>
      </x:c>
      <x:c r="J21" s="56" t="str">
        <x:v>Exact Q1 match.</x:v>
      </x:c>
    </x:row>
    <x:row r="22" ht="15" hidden="0" customHeight="1">
      <x:c r="A22" s="71" t="str">
        <x:v>4.2.2</x:v>
      </x:c>
      <x:c r="B22" s="63" t="str">
        <x:v>FSSAI</x:v>
      </x:c>
      <x:c r="C22" s="71" t="str">
        <x:v>Non-Key</x:v>
      </x:c>
      <x:c r="D22" s="68" t="n">
        <x:v>130</x:v>
      </x:c>
      <x:c r="E22" s="68" t="n">
        <x:v>175</x:v>
      </x:c>
      <x:c r="F22" s="68" t="n">
        <x:v>173</x:v>
      </x:c>
      <x:c r="G22" s="68" t="n">
        <x:f>F22-E22</x:f>
        <x:v>-2</x:v>
      </x:c>
      <x:c r="H22" s="64" t="str">
        <x:f>IF(G22=0,"Match","Mismatch")</x:f>
        <x:v>Mismatch</x:v>
      </x:c>
      <x:c r="I22" s="71" t="n">
        <x:v>4</x:v>
      </x:c>
      <x:c r="J22" s="63" t="str">
        <x:v>Live MIS is 2 below the QPR figure.</x:v>
      </x:c>
    </x:row>
    <x:row r="23" ht="15" hidden="0" customHeight="1">
      <x:c r="A23" s="70" t="str">
        <x:v>4.2.3</x:v>
      </x:c>
      <x:c r="B23" s="56" t="str">
        <x:v>UTDB</x:v>
      </x:c>
      <x:c r="C23" s="70" t="str">
        <x:v>Non-Key</x:v>
      </x:c>
      <x:c r="D23" s="67" t="n">
        <x:v>0</x:v>
      </x:c>
      <x:c r="E23" s="67" t="n">
        <x:v>22</x:v>
      </x:c>
      <x:c r="F23" s="67" t="n">
        <x:v>22</x:v>
      </x:c>
      <x:c r="G23" s="67" t="n">
        <x:f>F23-E23</x:f>
        <x:v>0</x:v>
      </x:c>
      <x:c r="H23" s="59" t="str">
        <x:f>IF(G23=0,"Match","Mismatch")</x:f>
        <x:v>Match</x:v>
      </x:c>
      <x:c r="I23" s="70" t="n">
        <x:v>4</x:v>
      </x:c>
      <x:c r="J23" s="56" t="str">
        <x:v>Exact Q1 match.</x:v>
      </x:c>
    </x:row>
    <x:row r="24" ht="15" hidden="0" customHeight="1">
      <x:c r="A24" s="70" t="str">
        <x:v>4.2.4</x:v>
      </x:c>
      <x:c r="B24" s="56" t="str">
        <x:v>GST Registration</x:v>
      </x:c>
      <x:c r="C24" s="70" t="str">
        <x:v>Non-Key</x:v>
      </x:c>
      <x:c r="D24" s="67" t="n">
        <x:v>35</x:v>
      </x:c>
      <x:c r="E24" s="67" t="n">
        <x:v>41</x:v>
      </x:c>
      <x:c r="F24" s="67" t="n">
        <x:v>41</x:v>
      </x:c>
      <x:c r="G24" s="67" t="n">
        <x:f>F24-E24</x:f>
        <x:v>0</x:v>
      </x:c>
      <x:c r="H24" s="59" t="str">
        <x:f>IF(G24=0,"Match","Mismatch")</x:f>
        <x:v>Match</x:v>
      </x:c>
      <x:c r="I24" s="70" t="n">
        <x:v>4</x:v>
      </x:c>
      <x:c r="J24" s="56" t="str">
        <x:v>Exact Q1 match.</x:v>
      </x:c>
    </x:row>
    <x:row r="25" ht="15" hidden="0" customHeight="1">
      <x:c r="A25" s="70" t="str">
        <x:v>4.2.5</x:v>
      </x:c>
      <x:c r="B25" s="56" t="str">
        <x:v>Trademark application filling</x:v>
      </x:c>
      <x:c r="C25" s="70" t="str">
        <x:v>Non-Key</x:v>
      </x:c>
      <x:c r="D25" s="67" t="n">
        <x:v>0</x:v>
      </x:c>
      <x:c r="E25" s="67" t="n">
        <x:v>3</x:v>
      </x:c>
      <x:c r="F25" s="67" t="n">
        <x:v>3</x:v>
      </x:c>
      <x:c r="G25" s="67" t="n">
        <x:f>F25-E25</x:f>
        <x:v>0</x:v>
      </x:c>
      <x:c r="H25" s="59" t="str">
        <x:f>IF(G25=0,"Match","Mismatch")</x:f>
        <x:v>Match</x:v>
      </x:c>
      <x:c r="I25" s="70" t="n">
        <x:v>4</x:v>
      </x:c>
      <x:c r="J25" s="56" t="str">
        <x:v>Exact Q1 match.</x:v>
      </x:c>
    </x:row>
    <x:row r="26" ht="15" hidden="0" customHeight="1">
      <x:c r="A26" s="70" t="str">
        <x:v>4.2.6</x:v>
      </x:c>
      <x:c r="B26" s="56" t="str">
        <x:v>GI Seller Registration</x:v>
      </x:c>
      <x:c r="C26" s="70" t="str">
        <x:v>Non-Key</x:v>
      </x:c>
      <x:c r="D26" s="67" t="n">
        <x:v>45</x:v>
      </x:c>
      <x:c r="E26" s="67" t="n">
        <x:v>6</x:v>
      </x:c>
      <x:c r="F26" s="67" t="n">
        <x:v>6</x:v>
      </x:c>
      <x:c r="G26" s="67" t="n">
        <x:f>F26-E26</x:f>
        <x:v>0</x:v>
      </x:c>
      <x:c r="H26" s="59" t="str">
        <x:f>IF(G26=0,"Match","Mismatch")</x:f>
        <x:v>Match</x:v>
      </x:c>
      <x:c r="I26" s="70" t="n">
        <x:v>4</x:v>
      </x:c>
      <x:c r="J26" s="56" t="str">
        <x:v>Exact Q1 match.</x:v>
      </x:c>
    </x:row>
    <x:row r="27" ht="24" hidden="0" customHeight="1">
      <x:c r="A27" s="70" t="str">
        <x:v>4.2.7</x:v>
      </x:c>
      <x:c r="B27" s="56" t="str">
        <x:v>Advance Licensing Support (Mandi Licensing, Lab Test etc.)</x:v>
      </x:c>
      <x:c r="C27" s="70" t="str">
        <x:v>Non-Key</x:v>
      </x:c>
      <x:c r="D27" s="67" t="str">
        <x:v>Need Based</x:v>
      </x:c>
      <x:c r="E27" s="67" t="n">
        <x:v>10</x:v>
      </x:c>
      <x:c r="F27" s="67" t="n">
        <x:v>10</x:v>
      </x:c>
      <x:c r="G27" s="67" t="n">
        <x:f>F27-E27</x:f>
        <x:v>0</x:v>
      </x:c>
      <x:c r="H27" s="59" t="str">
        <x:f>IF(G27=0,"Match","Mismatch")</x:f>
        <x:v>Match</x:v>
      </x:c>
      <x:c r="I27" s="70" t="n">
        <x:v>4</x:v>
      </x:c>
      <x:c r="J27" s="56" t="str">
        <x:v>Exact Q1 match.</x:v>
      </x:c>
    </x:row>
    <x:row r="28" ht="15" hidden="0" customHeight="1">
      <x:c r="A28" s="70" t="str">
        <x:v>5.1</x:v>
      </x:c>
      <x:c r="B28" s="56" t="str">
        <x:v>Specialized Mentorship Support</x:v>
      </x:c>
      <x:c r="C28" s="70" t="str">
        <x:v>Key Indicator</x:v>
      </x:c>
      <x:c r="D28" s="67" t="n">
        <x:v>65</x:v>
      </x:c>
      <x:c r="E28" s="67" t="n">
        <x:v>84</x:v>
      </x:c>
      <x:c r="F28" s="67" t="n">
        <x:v>84</x:v>
      </x:c>
      <x:c r="G28" s="67" t="n">
        <x:f>F28-E28</x:f>
        <x:v>0</x:v>
      </x:c>
      <x:c r="H28" s="59" t="str">
        <x:f>IF(G28=0,"Match","Mismatch")</x:f>
        <x:v>Match</x:v>
      </x:c>
      <x:c r="I28" s="70" t="n">
        <x:v>4</x:v>
      </x:c>
      <x:c r="J28" s="56" t="str">
        <x:v>Exact Q1 match.</x:v>
      </x:c>
    </x:row>
    <x:row r="29" ht="15" hidden="0" customHeight="1">
      <x:c r="A29" s="70" t="str">
        <x:v>5.2</x:v>
      </x:c>
      <x:c r="B29" s="56" t="str">
        <x:v>Mentorship Support through online portal</x:v>
      </x:c>
      <x:c r="C29" s="70" t="str">
        <x:v>Non-Key</x:v>
      </x:c>
      <x:c r="D29" s="67" t="n">
        <x:v>0</x:v>
      </x:c>
      <x:c r="E29" s="67" t="n">
        <x:v>0</x:v>
      </x:c>
      <x:c r="F29" s="67" t="n">
        <x:v>0</x:v>
      </x:c>
      <x:c r="G29" s="67" t="n">
        <x:f>F29-E29</x:f>
        <x:v>0</x:v>
      </x:c>
      <x:c r="H29" s="59" t="str">
        <x:f>IF(G29=0,"Match","Mismatch")</x:f>
        <x:v>Match</x:v>
      </x:c>
      <x:c r="I29" s="70" t="n">
        <x:v>4</x:v>
      </x:c>
      <x:c r="J29" s="56" t="str">
        <x:v>Exact Q1 match.</x:v>
      </x:c>
    </x:row>
    <x:row r="30" ht="24" hidden="0" customHeight="1">
      <x:c r="A30" s="70" t="str">
        <x:v>6.1</x:v>
      </x:c>
      <x:c r="B30" s="56" t="str">
        <x:v>No. of Partners outreach — Partnership &amp; Forward Linkages</x:v>
      </x:c>
      <x:c r="C30" s="70" t="str">
        <x:v>Non-Key</x:v>
      </x:c>
      <x:c r="D30" s="67" t="n">
        <x:v>30</x:v>
      </x:c>
      <x:c r="E30" s="67" t="n">
        <x:v>7</x:v>
      </x:c>
      <x:c r="F30" s="67" t="n">
        <x:v>7</x:v>
      </x:c>
      <x:c r="G30" s="67" t="n">
        <x:f>F30-E30</x:f>
        <x:v>0</x:v>
      </x:c>
      <x:c r="H30" s="59" t="str">
        <x:f>IF(G30=0,"Match","Mismatch")</x:f>
        <x:v>Match</x:v>
      </x:c>
      <x:c r="I30" s="70" t="n">
        <x:v>4</x:v>
      </x:c>
      <x:c r="J30" s="56" t="str">
        <x:v>Exact Q1 match.</x:v>
      </x:c>
    </x:row>
    <x:row r="31" ht="15" hidden="0" customHeight="1">
      <x:c r="A31" s="72" t="str">
        <x:v>6.2</x:v>
      </x:c>
      <x:c r="B31" s="65" t="str">
        <x:v>Marketing Partners Onboarded through LoA/LoI/MoU</x:v>
      </x:c>
      <x:c r="C31" s="72" t="str">
        <x:v>Non-Key</x:v>
      </x:c>
      <x:c r="D31" s="69" t="n">
        <x:v>20</x:v>
      </x:c>
      <x:c r="E31" s="69" t="n">
        <x:v>0</x:v>
      </x:c>
      <x:c r="F31" s="69" t="n">
        <x:v>3</x:v>
      </x:c>
      <x:c r="G31" s="69" t="n">
        <x:f>F31-E31</x:f>
        <x:v>3</x:v>
      </x:c>
      <x:c r="H31" s="66" t="str">
        <x:f>IF(G31=0,"Match","Mismatch")</x:f>
        <x:v>Mismatch</x:v>
      </x:c>
      <x:c r="I31" s="72" t="n">
        <x:v>4</x:v>
      </x:c>
      <x:c r="J31" s="65" t="str">
        <x:v>3 partners are now recorded in live MIS.</x:v>
      </x:c>
    </x:row>
    <x:row r="32" ht="15" hidden="0" customHeight="1">
      <x:c r="A32" s="71" t="str">
        <x:v>6.3</x:v>
      </x:c>
      <x:c r="B32" s="63" t="str">
        <x:v>Incubatees linked to online/offline Market</x:v>
      </x:c>
      <x:c r="C32" s="71" t="str">
        <x:v>Key Indicator</x:v>
      </x:c>
      <x:c r="D32" s="68" t="n">
        <x:v>150</x:v>
      </x:c>
      <x:c r="E32" s="68" t="n">
        <x:v>135</x:v>
      </x:c>
      <x:c r="F32" s="68" t="n">
        <x:v>157</x:v>
      </x:c>
      <x:c r="G32" s="68" t="n">
        <x:f>F32-E32</x:f>
        <x:v>22</x:v>
      </x:c>
      <x:c r="H32" s="64" t="str">
        <x:f>IF(G32=0,"Match","Mismatch")</x:f>
        <x:v>Mismatch</x:v>
      </x:c>
      <x:c r="I32" s="71" t="n">
        <x:v>4</x:v>
      </x:c>
      <x:c r="J32" s="63" t="str">
        <x:v>22 more unique linkages are now in live MIS.</x:v>
      </x:c>
    </x:row>
    <x:row r="33" ht="15" hidden="0" customHeight="1">
      <x:c r="A33" s="72" t="str">
        <x:v>7.1</x:v>
      </x:c>
      <x:c r="B33" s="65" t="str">
        <x:v>No. of Partners outreach — Business Acceleration</x:v>
      </x:c>
      <x:c r="C33" s="72" t="str">
        <x:v>Non-Key</x:v>
      </x:c>
      <x:c r="D33" s="69" t="n">
        <x:v>6</x:v>
      </x:c>
      <x:c r="E33" s="69" t="n">
        <x:v>3</x:v>
      </x:c>
      <x:c r="F33" s="69" t="n">
        <x:v>0</x:v>
      </x:c>
      <x:c r="G33" s="69" t="n">
        <x:f>F33-E33</x:f>
        <x:v>-3</x:v>
      </x:c>
      <x:c r="H33" s="66" t="str">
        <x:f>IF(G33=0,"Match","Mismatch")</x:f>
        <x:v>Mismatch</x:v>
      </x:c>
      <x:c r="I33" s="72" t="n">
        <x:v>4</x:v>
      </x:c>
      <x:c r="J33" s="65" t="str">
        <x:v>Current MIS has no Q1 records under this indicator.</x:v>
      </x:c>
    </x:row>
    <x:row r="34" ht="24" hidden="0" customHeight="1">
      <x:c r="A34" s="71" t="str">
        <x:v>7.2</x:v>
      </x:c>
      <x:c r="B34" s="63" t="str">
        <x:v>Initiation of acceleration and co-incubation services</x:v>
      </x:c>
      <x:c r="C34" s="71" t="str">
        <x:v>Key Indicator</x:v>
      </x:c>
      <x:c r="D34" s="68" t="n">
        <x:v>200</x:v>
      </x:c>
      <x:c r="E34" s="68" t="n">
        <x:v>667</x:v>
      </x:c>
      <x:c r="F34" s="68" t="n">
        <x:v>0</x:v>
      </x:c>
      <x:c r="G34" s="68" t="n">
        <x:f>F34-E34</x:f>
        <x:v>-667</x:v>
      </x:c>
      <x:c r="H34" s="64" t="str">
        <x:f>IF(G34=0,"Match","Mismatch")</x:f>
        <x:v>Mismatch</x:v>
      </x:c>
      <x:c r="I34" s="71" t="n">
        <x:v>4</x:v>
      </x:c>
      <x:c r="J34" s="63" t="str">
        <x:v>Major definition/source mismatch: QPR reports 667; current MIS Q1 reports 0.</x:v>
      </x:c>
    </x:row>
    <x:row r="35" ht="15" hidden="0" customHeight="1">
      <x:c r="A35" s="70" t="str">
        <x:v>8.1</x:v>
      </x:c>
      <x:c r="B35" s="56" t="str">
        <x:v>Schematic Convergence</x:v>
      </x:c>
      <x:c r="C35" s="70" t="str">
        <x:v>Key Indicator</x:v>
      </x:c>
      <x:c r="D35" s="67" t="n">
        <x:v>515</x:v>
      </x:c>
      <x:c r="E35" s="67" t="n">
        <x:v>408</x:v>
      </x:c>
      <x:c r="F35" s="67" t="n">
        <x:v>408</x:v>
      </x:c>
      <x:c r="G35" s="67" t="n">
        <x:f>F35-E35</x:f>
        <x:v>0</x:v>
      </x:c>
      <x:c r="H35" s="59" t="str">
        <x:f>IF(G35=0,"Match","Mismatch")</x:f>
        <x:v>Match</x:v>
      </x:c>
      <x:c r="I35" s="70" t="n">
        <x:v>5</x:v>
      </x:c>
      <x:c r="J35" s="56" t="str">
        <x:v>Exact Q1 match.</x:v>
      </x:c>
    </x:row>
    <x:row r="36" ht="15" hidden="0" customHeight="1">
      <x:c r="A36" s="71" t="str">
        <x:v>8.2</x:v>
      </x:c>
      <x:c r="B36" s="63" t="str">
        <x:v>Support to MUY Incubatee through REAP</x:v>
      </x:c>
      <x:c r="C36" s="71" t="str">
        <x:v>Key Indicator</x:v>
      </x:c>
      <x:c r="D36" s="68" t="n">
        <x:v>50</x:v>
      </x:c>
      <x:c r="E36" s="68" t="n">
        <x:v>22</x:v>
      </x:c>
      <x:c r="F36" s="68" t="n">
        <x:v>28</x:v>
      </x:c>
      <x:c r="G36" s="68" t="n">
        <x:f>F36-E36</x:f>
        <x:v>6</x:v>
      </x:c>
      <x:c r="H36" s="64" t="str">
        <x:f>IF(G36=0,"Match","Mismatch")</x:f>
        <x:v>Mismatch</x:v>
      </x:c>
      <x:c r="I36" s="71" t="n">
        <x:v>5</x:v>
      </x:c>
      <x:c r="J36" s="63" t="str">
        <x:v>6 more approved cases are now in live MIS.</x:v>
      </x:c>
    </x:row>
    <x:row r="37" ht="15" hidden="0" customHeight="1">
      <x:c r="A37" s="70" t="str">
        <x:v>8.3</x:v>
      </x:c>
      <x:c r="B37" s="56" t="str">
        <x:v>Incubatees Pitch Deck Preparation</x:v>
      </x:c>
      <x:c r="C37" s="70" t="str">
        <x:v>Key Indicator</x:v>
      </x:c>
      <x:c r="D37" s="67" t="n">
        <x:v>20</x:v>
      </x:c>
      <x:c r="E37" s="67" t="n">
        <x:v>30</x:v>
      </x:c>
      <x:c r="F37" s="67" t="n">
        <x:v>30</x:v>
      </x:c>
      <x:c r="G37" s="67" t="n">
        <x:f>F37-E37</x:f>
        <x:v>0</x:v>
      </x:c>
      <x:c r="H37" s="59" t="str">
        <x:f>IF(G37=0,"Match","Mismatch")</x:f>
        <x:v>Match</x:v>
      </x:c>
      <x:c r="I37" s="70" t="n">
        <x:v>5</x:v>
      </x:c>
      <x:c r="J37" s="56" t="str">
        <x:v>Exact Q1 match.</x:v>
      </x:c>
    </x:row>
    <x:row r="38" ht="15" hidden="0" customHeight="1">
      <x:c r="A38" s="71" t="str">
        <x:v>8.4</x:v>
      </x:c>
      <x:c r="B38" s="63" t="str">
        <x:v>Demo Days</x:v>
      </x:c>
      <x:c r="C38" s="71" t="str">
        <x:v>Key Indicator</x:v>
      </x:c>
      <x:c r="D38" s="68" t="n">
        <x:v>1</x:v>
      </x:c>
      <x:c r="E38" s="68" t="n">
        <x:v>2</x:v>
      </x:c>
      <x:c r="F38" s="68" t="n">
        <x:v>0</x:v>
      </x:c>
      <x:c r="G38" s="68" t="n">
        <x:f>F38-E38</x:f>
        <x:v>-2</x:v>
      </x:c>
      <x:c r="H38" s="64" t="str">
        <x:f>IF(G38=0,"Match","Mismatch")</x:f>
        <x:v>Mismatch</x:v>
      </x:c>
      <x:c r="I38" s="71" t="n">
        <x:v>5</x:v>
      </x:c>
      <x:c r="J38" s="63" t="str">
        <x:v>QPR reports 2; current MIS Q1 reports 0.</x:v>
      </x:c>
    </x:row>
    <x:row r="39" ht="24" hidden="0" customHeight="1">
      <x:c r="A39" s="72" t="str">
        <x:v>8.5</x:v>
      </x:c>
      <x:c r="B39" s="65" t="str">
        <x:v>No. of Partners outreach — Funding &amp; Schematic Convergence</x:v>
      </x:c>
      <x:c r="C39" s="72" t="str">
        <x:v>Non-Key</x:v>
      </x:c>
      <x:c r="D39" s="69" t="n">
        <x:v>5</x:v>
      </x:c>
      <x:c r="E39" s="69" t="n">
        <x:v>1</x:v>
      </x:c>
      <x:c r="F39" s="69" t="n">
        <x:v>0</x:v>
      </x:c>
      <x:c r="G39" s="69" t="n">
        <x:f>F39-E39</x:f>
        <x:v>-1</x:v>
      </x:c>
      <x:c r="H39" s="66" t="str">
        <x:f>IF(G39=0,"Match","Mismatch")</x:f>
        <x:v>Mismatch</x:v>
      </x:c>
      <x:c r="I39" s="72" t="n">
        <x:v>5</x:v>
      </x:c>
      <x:c r="J39" s="65" t="str">
        <x:v>QPR reports 1; current MIS Q1 reports 0.</x:v>
      </x:c>
    </x:row>
    <x:row r="40" ht="15" hidden="0" customHeight="1">
      <x:c r="A40" s="70" t="str">
        <x:v>9.1</x:v>
      </x:c>
      <x:c r="B40" s="56" t="str">
        <x:v>Business Model Canvas</x:v>
      </x:c>
      <x:c r="C40" s="70" t="str">
        <x:v>Key Indicator</x:v>
      </x:c>
      <x:c r="D40" s="67" t="n">
        <x:v>1025</x:v>
      </x:c>
      <x:c r="E40" s="67" t="n">
        <x:v>1550</x:v>
      </x:c>
      <x:c r="F40" s="67" t="n">
        <x:v>1550</x:v>
      </x:c>
      <x:c r="G40" s="67" t="n">
        <x:f>F40-E40</x:f>
        <x:v>0</x:v>
      </x:c>
      <x:c r="H40" s="59" t="str">
        <x:f>IF(G40=0,"Match","Mismatch")</x:f>
        <x:v>Match</x:v>
      </x:c>
      <x:c r="I40" s="70" t="n">
        <x:v>5</x:v>
      </x:c>
      <x:c r="J40" s="56" t="str">
        <x:v>Exact Q1 match.</x:v>
      </x:c>
    </x:row>
    <x:row r="41" ht="24" hidden="0" customHeight="1">
      <x:c r="A41" s="70" t="str">
        <x:v>9.2</x:v>
      </x:c>
      <x:c r="B41" s="56" t="str">
        <x:v>Other Support Services — Labelling, Packaging, Logo Designing, etc.</x:v>
      </x:c>
      <x:c r="C41" s="70" t="str">
        <x:v>Non-Key</x:v>
      </x:c>
      <x:c r="D41" s="67" t="n">
        <x:v>0</x:v>
      </x:c>
      <x:c r="E41" s="67" t="n">
        <x:v>15</x:v>
      </x:c>
      <x:c r="F41" s="67" t="n">
        <x:v>15</x:v>
      </x:c>
      <x:c r="G41" s="67" t="n">
        <x:f>F41-E41</x:f>
        <x:v>0</x:v>
      </x:c>
      <x:c r="H41" s="59" t="str">
        <x:f>IF(G41=0,"Match","Mismatch")</x:f>
        <x:v>Match</x:v>
      </x:c>
      <x:c r="I41" s="70" t="n">
        <x:v>5</x:v>
      </x:c>
      <x:c r="J41" s="56" t="str">
        <x:v>Exact Q1 match.</x:v>
      </x:c>
    </x:row>
    <x:row r="42" ht="15" hidden="0" customHeight="1">
      <x:c r="A42" s="70" t="str">
        <x:v>10.1</x:v>
      </x:c>
      <x:c r="B42" s="56" t="str">
        <x:v>Social Media Post</x:v>
      </x:c>
      <x:c r="C42" s="70" t="str">
        <x:v>Key Indicator</x:v>
      </x:c>
      <x:c r="D42" s="67" t="n">
        <x:v>30</x:v>
      </x:c>
      <x:c r="E42" s="67" t="n">
        <x:v>28</x:v>
      </x:c>
      <x:c r="F42" s="67" t="n">
        <x:v>28</x:v>
      </x:c>
      <x:c r="G42" s="67" t="n">
        <x:f>F42-E42</x:f>
        <x:v>0</x:v>
      </x:c>
      <x:c r="H42" s="59" t="str">
        <x:f>IF(G42=0,"Match","Mismatch")</x:f>
        <x:v>Match</x:v>
      </x:c>
      <x:c r="I42" s="70" t="n">
        <x:v>5</x:v>
      </x:c>
      <x:c r="J42" s="56" t="str">
        <x:v>Exact Q1 match.</x:v>
      </x:c>
    </x:row>
    <x:row r="43" ht="15" hidden="0" customHeight="1">
      <x:c r="A43" s="70" t="str">
        <x:v>10.2</x:v>
      </x:c>
      <x:c r="B43" s="56" t="str">
        <x:v>Preparation of Case Studies and Testimonials</x:v>
      </x:c>
      <x:c r="C43" s="70" t="str">
        <x:v>Key Indicator</x:v>
      </x:c>
      <x:c r="D43" s="67" t="n">
        <x:v>10</x:v>
      </x:c>
      <x:c r="E43" s="67" t="n">
        <x:v>13</x:v>
      </x:c>
      <x:c r="F43" s="67" t="n">
        <x:v>13</x:v>
      </x:c>
      <x:c r="G43" s="67" t="n">
        <x:f>F43-E43</x:f>
        <x:v>0</x:v>
      </x:c>
      <x:c r="H43" s="59" t="str">
        <x:f>IF(G43=0,"Match","Mismatch")</x:f>
        <x:v>Match</x:v>
      </x:c>
      <x:c r="I43" s="70" t="n">
        <x:v>5</x:v>
      </x:c>
      <x:c r="J43" s="56" t="str">
        <x:v>Exact Q1 match.</x:v>
      </x:c>
    </x:row>
    <x:row r="44" ht="15" hidden="0" customHeight="1">
      <x:c r="A44" s="70" t="str">
        <x:v>10.3</x:v>
      </x:c>
      <x:c r="B44" s="56" t="str">
        <x:v>MUY Newsletter</x:v>
      </x:c>
      <x:c r="C44" s="70" t="str">
        <x:v>Key Indicator</x:v>
      </x:c>
      <x:c r="D44" s="67" t="n">
        <x:v>0</x:v>
      </x:c>
      <x:c r="E44" s="67" t="n">
        <x:v>0</x:v>
      </x:c>
      <x:c r="F44" s="67" t="n">
        <x:v>0</x:v>
      </x:c>
      <x:c r="G44" s="67" t="n">
        <x:f>F44-E44</x:f>
        <x:v>0</x:v>
      </x:c>
      <x:c r="H44" s="59" t="str">
        <x:f>IF(G44=0,"Match","Mismatch")</x:f>
        <x:v>Match</x:v>
      </x:c>
      <x:c r="I44" s="70" t="n">
        <x:v>5</x:v>
      </x:c>
      <x:c r="J44" s="56" t="str">
        <x:v>Exact Q1 match; live target is blank but achievement is 0.</x:v>
      </x:c>
    </x:row>
    <x:row r="45" ht="15" hidden="0" customHeight="1">
      <x:c r="A45" s="70" t="str">
        <x:v>10.4</x:v>
      </x:c>
      <x:c r="B45" s="56" t="str">
        <x:v>IEC &amp; Promotional Activities for MUY</x:v>
      </x:c>
      <x:c r="C45" s="70" t="str">
        <x:v>Non-Key</x:v>
      </x:c>
      <x:c r="D45" s="67" t="n">
        <x:v>1</x:v>
      </x:c>
      <x:c r="E45" s="67" t="n">
        <x:v>0</x:v>
      </x:c>
      <x:c r="F45" s="67" t="n">
        <x:v>0</x:v>
      </x:c>
      <x:c r="G45" s="67" t="n">
        <x:f>F45-E45</x:f>
        <x:v>0</x:v>
      </x:c>
      <x:c r="H45" s="59" t="str">
        <x:f>IF(G45=0,"Match","Mismatch")</x:f>
        <x:v>Match</x:v>
      </x:c>
      <x:c r="I45" s="70" t="n">
        <x:v>5</x:v>
      </x:c>
      <x:c r="J45" s="56" t="str">
        <x:v>Exact achievement match; QPR used the former indicator name.</x:v>
      </x:c>
    </x:row>
    <x:row r="46" ht="15" hidden="0" customHeight="1">
      <x:c r="A46" s="70" t="str">
        <x:v>10.5</x:v>
      </x:c>
      <x:c r="B46" s="56" t="str">
        <x:v>Buyer-Seller Meet</x:v>
      </x:c>
      <x:c r="C46" s="70" t="str">
        <x:v>Key Indicator</x:v>
      </x:c>
      <x:c r="D46" s="67" t="n">
        <x:v>2</x:v>
      </x:c>
      <x:c r="E46" s="67" t="n">
        <x:v>0</x:v>
      </x:c>
      <x:c r="F46" s="67" t="n">
        <x:v>0</x:v>
      </x:c>
      <x:c r="G46" s="67" t="n">
        <x:f>F46-E46</x:f>
        <x:v>0</x:v>
      </x:c>
      <x:c r="H46" s="59" t="str">
        <x:f>IF(G46=0,"Match","Mismatch")</x:f>
        <x:v>Match</x:v>
      </x:c>
      <x:c r="I46" s="70" t="n">
        <x:v>5</x:v>
      </x:c>
      <x:c r="J46" s="56" t="str">
        <x:v>Exact Q1 match.</x:v>
      </x:c>
    </x:row>
    <x:row r="47" ht="15" hidden="0" customHeight="1">
      <x:c r="A47" s="70" t="str">
        <x:v>10.6</x:v>
      </x:c>
      <x:c r="B47" s="56" t="str">
        <x:v>Events/Seminars/Workshops</x:v>
      </x:c>
      <x:c r="C47" s="70" t="str">
        <x:v>Key Indicator</x:v>
      </x:c>
      <x:c r="D47" s="67" t="n">
        <x:v>0</x:v>
      </x:c>
      <x:c r="E47" s="67" t="n">
        <x:v>0</x:v>
      </x:c>
      <x:c r="F47" s="67" t="n">
        <x:v>0</x:v>
      </x:c>
      <x:c r="G47" s="67" t="n">
        <x:f>F47-E47</x:f>
        <x:v>0</x:v>
      </x:c>
      <x:c r="H47" s="59" t="str">
        <x:f>IF(G47=0,"Match","Mismatch")</x:f>
        <x:v>Match</x:v>
      </x:c>
      <x:c r="I47" s="70" t="n">
        <x:v>5</x:v>
      </x:c>
      <x:c r="J47" s="56" t="str">
        <x:v>Exact Q1 match.</x:v>
      </x:c>
    </x:row>
    <x:row r="48" ht="24" hidden="0" customHeight="1">
      <x:c r="A48" s="70" t="str">
        <x:v>11.1</x:v>
      </x:c>
      <x:c r="B48" s="56" t="str">
        <x:v>Identification and Submission of Proposal for New Product Development</x:v>
      </x:c>
      <x:c r="C48" s="70" t="str">
        <x:v>Non-Key</x:v>
      </x:c>
      <x:c r="D48" s="67" t="n">
        <x:v>0</x:v>
      </x:c>
      <x:c r="E48" s="67" t="n">
        <x:v>0</x:v>
      </x:c>
      <x:c r="F48" s="67" t="n">
        <x:v>0</x:v>
      </x:c>
      <x:c r="G48" s="67" t="n">
        <x:f>F48-E48</x:f>
        <x:v>0</x:v>
      </x:c>
      <x:c r="H48" s="59" t="str">
        <x:f>IF(G48=0,"Match","Mismatch")</x:f>
        <x:v>Match</x:v>
      </x:c>
      <x:c r="I48" s="70" t="n">
        <x:v>5</x:v>
      </x:c>
      <x:c r="J48" s="56" t="str">
        <x:v>Exact Q1 match; current MIS labels this as Key.</x:v>
      </x:c>
    </x:row>
    <x:row r="49" ht="15" hidden="0" customHeight="1">
      <x:c r="A49" s="70" t="str">
        <x:v>12.1</x:v>
      </x:c>
      <x:c r="B49" s="56" t="str">
        <x:v>Stakeholder Consultation Workshop</x:v>
      </x:c>
      <x:c r="C49" s="70" t="str">
        <x:v>Non-Key</x:v>
      </x:c>
      <x:c r="D49" s="67" t="n">
        <x:v>0</x:v>
      </x:c>
      <x:c r="E49" s="67" t="n">
        <x:v>0</x:v>
      </x:c>
      <x:c r="F49" s="67" t="n">
        <x:v>0</x:v>
      </x:c>
      <x:c r="G49" s="67" t="n">
        <x:f>F49-E49</x:f>
        <x:v>0</x:v>
      </x:c>
      <x:c r="H49" s="59" t="str">
        <x:f>IF(G49=0,"Match","Mismatch")</x:f>
        <x:v>Match</x:v>
      </x:c>
      <x:c r="I49" s="70" t="n">
        <x:v>5</x:v>
      </x:c>
      <x:c r="J49" s="56" t="str">
        <x:v>Exact Q1 match; current MIS labels this as Key.</x:v>
      </x:c>
    </x:row>
    <x:row r="50" ht="24" hidden="0" customHeight="1">
      <x:c r="A50" s="71" t="str">
        <x:v>12.2</x:v>
      </x:c>
      <x:c r="B50" s="63" t="str">
        <x:v>Meeting of staff with Line Department at Spoke/Hub/State Level</x:v>
      </x:c>
      <x:c r="C50" s="71" t="str">
        <x:v>Non-Key</x:v>
      </x:c>
      <x:c r="D50" s="68" t="n">
        <x:v>5</x:v>
      </x:c>
      <x:c r="E50" s="68" t="n">
        <x:v>19</x:v>
      </x:c>
      <x:c r="F50" s="68" t="n">
        <x:v>84</x:v>
      </x:c>
      <x:c r="G50" s="68" t="n">
        <x:f>F50-E50</x:f>
        <x:v>65</x:v>
      </x:c>
      <x:c r="H50" s="64" t="str">
        <x:f>IF(G50=0,"Match","Mismatch")</x:f>
        <x:v>Mismatch</x:v>
      </x:c>
      <x:c r="I50" s="71" t="n">
        <x:v>5</x:v>
      </x:c>
      <x:c r="J50" s="63" t="str">
        <x:v>65 additional/backfilled meetings are now counted in live MIS.</x:v>
      </x:c>
    </x:row>
  </x:sheetData>
  <x:mergeCells>
    <x:mergeCell ref="A1:J1"/>
    <x:mergeCell ref="A2:J2"/>
    <x:mergeCell ref="A4:J4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38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34" hidden="0" customWidth="1"/>
  </x:cols>
  <x:sheetData>
    <x:row r="1" ht="34" customHeight="1">
      <x:c r="A1" s="3" t="str">
        <x:v>Month-wise Detail — QPR Evidence vs Live MIS</x:v>
      </x:c>
      <x:c r="B1" s="3" t="str">
        <x:v>Month-wise Detail — QPR Evidence vs Live MIS</x:v>
      </x:c>
      <x:c r="C1" s="3" t="str">
        <x:v>Month-wise Detail — QPR Evidence vs Live MIS</x:v>
      </x:c>
      <x:c r="D1" s="3" t="str">
        <x:v>Month-wise Detail — QPR Evidence vs Live MIS</x:v>
      </x:c>
      <x:c r="E1" s="3" t="str">
        <x:v>Month-wise Detail — QPR Evidence vs Live MIS</x:v>
      </x:c>
      <x:c r="F1" s="3" t="str">
        <x:v>Month-wise Detail — QPR Evidence vs Live MIS</x:v>
      </x:c>
      <x:c r="G1" s="3" t="str">
        <x:v>Month-wise Detail — QPR Evidence vs Live MIS</x:v>
      </x:c>
      <x:c r="H1" s="3" t="str">
        <x:v>Month-wise Detail — QPR Evidence vs Live MIS</x:v>
      </x:c>
      <x:c r="I1" s="3" t="str">
        <x:v>Month-wise Detail — QPR Evidence vs Live MIS</x:v>
      </x:c>
      <x:c r="J1" s="3" t="str">
        <x:v>Month-wise Detail — QPR Evidence vs Live MIS</x:v>
      </x:c>
      <x:c r="K1" s="3" t="str">
        <x:v>Month-wise Detail — QPR Evidence vs Live MIS</x:v>
      </x:c>
      <x:c r="L1" s="3" t="str">
        <x:v>Month-wise Detail — QPR Evidence vs Live MIS</x:v>
      </x:c>
      <x:c r="M1" s="3" t="str">
        <x:v>Month-wise Detail — QPR Evidence vs Live MIS</x:v>
      </x:c>
      <x:c r="N1" s="3" t="str">
        <x:v>Month-wise Detail — QPR Evidence vs Live MIS</x:v>
      </x:c>
      <x:c r="O1" s="3" t="str">
        <x:v>Month-wise Detail — QPR Evidence vs Live MIS</x:v>
      </x:c>
    </x:row>
    <x:row r="2" ht="30" customHeight="1">
      <x:c r="A2" s="7" t="str">
        <x:v>April, May and June live MIS results for every indicator; QPR month checks only where the report contains dated evidence</x:v>
      </x:c>
      <x:c r="B2" s="7" t="str">
        <x:v>April, May and June live MIS results for every indicator; QPR month checks only where the report contains dated evidence</x:v>
      </x:c>
      <x:c r="C2" s="7" t="str">
        <x:v>April, May and June live MIS results for every indicator; QPR month checks only where the report contains dated evidence</x:v>
      </x:c>
      <x:c r="D2" s="7" t="str">
        <x:v>April, May and June live MIS results for every indicator; QPR month checks only where the report contains dated evidence</x:v>
      </x:c>
      <x:c r="E2" s="7" t="str">
        <x:v>April, May and June live MIS results for every indicator; QPR month checks only where the report contains dated evidence</x:v>
      </x:c>
      <x:c r="F2" s="7" t="str">
        <x:v>April, May and June live MIS results for every indicator; QPR month checks only where the report contains dated evidence</x:v>
      </x:c>
      <x:c r="G2" s="7" t="str">
        <x:v>April, May and June live MIS results for every indicator; QPR month checks only where the report contains dated evidence</x:v>
      </x:c>
      <x:c r="H2" s="7" t="str">
        <x:v>April, May and June live MIS results for every indicator; QPR month checks only where the report contains dated evidence</x:v>
      </x:c>
      <x:c r="I2" s="7" t="str">
        <x:v>April, May and June live MIS results for every indicator; QPR month checks only where the report contains dated evidence</x:v>
      </x:c>
      <x:c r="J2" s="7" t="str">
        <x:v>April, May and June live MIS results for every indicator; QPR month checks only where the report contains dated evidence</x:v>
      </x:c>
      <x:c r="K2" s="7" t="str">
        <x:v>April, May and June live MIS results for every indicator; QPR month checks only where the report contains dated evidence</x:v>
      </x:c>
      <x:c r="L2" s="7" t="str">
        <x:v>April, May and June live MIS results for every indicator; QPR month checks only where the report contains dated evidence</x:v>
      </x:c>
      <x:c r="M2" s="7" t="str">
        <x:v>April, May and June live MIS results for every indicator; QPR month checks only where the report contains dated evidence</x:v>
      </x:c>
      <x:c r="N2" s="7" t="str">
        <x:v>April, May and June live MIS results for every indicator; QPR month checks only where the report contains dated evidence</x:v>
      </x:c>
      <x:c r="O2" s="7" t="str">
        <x:v>April, May and June live MIS results for every indicator; QPR month checks only where the report contains dated evidence</x:v>
      </x:c>
    </x:row>
    <x:row r="4">
      <x:c r="A4" s="46" t="str">
        <x:v>“Not reported” means the QPR gives only a Q1 total and no defensible month split. MIS month sum can differ from live Q1 where period-level deduplication is used.</x:v>
      </x:c>
      <x:c r="B4" s="46" t="str">
        <x:v>“Not reported” means the QPR gives only a Q1 total and no defensible month split. MIS month sum can differ from live Q1 where period-level deduplication is used.</x:v>
      </x:c>
      <x:c r="C4" s="46" t="str">
        <x:v>“Not reported” means the QPR gives only a Q1 total and no defensible month split. MIS month sum can differ from live Q1 where period-level deduplication is used.</x:v>
      </x:c>
      <x:c r="D4" s="46" t="str">
        <x:v>“Not reported” means the QPR gives only a Q1 total and no defensible month split. MIS month sum can differ from live Q1 where period-level deduplication is used.</x:v>
      </x:c>
      <x:c r="E4" s="46" t="str">
        <x:v>“Not reported” means the QPR gives only a Q1 total and no defensible month split. MIS month sum can differ from live Q1 where period-level deduplication is used.</x:v>
      </x:c>
      <x:c r="F4" s="46" t="str">
        <x:v>“Not reported” means the QPR gives only a Q1 total and no defensible month split. MIS month sum can differ from live Q1 where period-level deduplication is used.</x:v>
      </x:c>
      <x:c r="G4" s="46" t="str">
        <x:v>“Not reported” means the QPR gives only a Q1 total and no defensible month split. MIS month sum can differ from live Q1 where period-level deduplication is used.</x:v>
      </x:c>
      <x:c r="H4" s="46" t="str">
        <x:v>“Not reported” means the QPR gives only a Q1 total and no defensible month split. MIS month sum can differ from live Q1 where period-level deduplication is used.</x:v>
      </x:c>
      <x:c r="I4" s="46" t="str">
        <x:v>“Not reported” means the QPR gives only a Q1 total and no defensible month split. MIS month sum can differ from live Q1 where period-level deduplication is used.</x:v>
      </x:c>
      <x:c r="J4" s="46" t="str">
        <x:v>“Not reported” means the QPR gives only a Q1 total and no defensible month split. MIS month sum can differ from live Q1 where period-level deduplication is used.</x:v>
      </x:c>
      <x:c r="K4" s="46" t="str">
        <x:v>“Not reported” means the QPR gives only a Q1 total and no defensible month split. MIS month sum can differ from live Q1 where period-level deduplication is used.</x:v>
      </x:c>
      <x:c r="L4" s="46" t="str">
        <x:v>“Not reported” means the QPR gives only a Q1 total and no defensible month split. MIS month sum can differ from live Q1 where period-level deduplication is used.</x:v>
      </x:c>
      <x:c r="M4" s="46" t="str">
        <x:v>“Not reported” means the QPR gives only a Q1 total and no defensible month split. MIS month sum can differ from live Q1 where period-level deduplication is used.</x:v>
      </x:c>
      <x:c r="N4" s="46" t="str">
        <x:v>“Not reported” means the QPR gives only a Q1 total and no defensible month split. MIS month sum can differ from live Q1 where period-level deduplication is used.</x:v>
      </x:c>
      <x:c r="O4" s="46" t="str">
        <x:v>“Not reported” means the QPR gives only a Q1 total and no defensible month split. MIS month sum can differ from live Q1 where period-level deduplication is used.</x:v>
      </x:c>
    </x:row>
    <x:row r="6" ht="30" customHeight="1">
      <x:c r="A6" s="52" t="str">
        <x:v>S.N.</x:v>
      </x:c>
      <x:c r="B6" s="52" t="str">
        <x:v>Indicator</x:v>
      </x:c>
      <x:c r="C6" s="52" t="str">
        <x:v>Apr QPR</x:v>
      </x:c>
      <x:c r="D6" s="52" t="str">
        <x:v>Apr MIS</x:v>
      </x:c>
      <x:c r="E6" s="52" t="str">
        <x:v>Apr status</x:v>
      </x:c>
      <x:c r="F6" s="52" t="str">
        <x:v>May QPR</x:v>
      </x:c>
      <x:c r="G6" s="52" t="str">
        <x:v>May MIS</x:v>
      </x:c>
      <x:c r="H6" s="52" t="str">
        <x:v>May status</x:v>
      </x:c>
      <x:c r="I6" s="52" t="str">
        <x:v>Jun QPR</x:v>
      </x:c>
      <x:c r="J6" s="52" t="str">
        <x:v>Jun MIS</x:v>
      </x:c>
      <x:c r="K6" s="52" t="str">
        <x:v>Jun status</x:v>
      </x:c>
      <x:c r="L6" s="52" t="str">
        <x:v>MIS month sum</x:v>
      </x:c>
      <x:c r="M6" s="52" t="str">
        <x:v>Live MIS Q1</x:v>
      </x:c>
      <x:c r="N6" s="52" t="str">
        <x:v>Sum vs Q1</x:v>
      </x:c>
      <x:c r="O6" s="52" t="str">
        <x:v>QPR month evidence</x:v>
      </x:c>
    </x:row>
    <x:row r="7" ht="15" hidden="0" customHeight="1">
      <x:c r="A7" s="56" t="str">
        <x:v>1.1</x:v>
      </x:c>
      <x:c r="B7" s="56" t="str">
        <x:v>Call for Application</x:v>
      </x:c>
      <x:c r="C7" s="67" t="str">
        <x:v>Not reported</x:v>
      </x:c>
      <x:c r="D7" s="67" t="n">
        <x:v>5168</x:v>
      </x:c>
      <x:c r="E7" s="76" t="str">
        <x:f>IF(ISNUMBER(C7),IF(C7=D7,"Match","Mismatch"),"Not reported")</x:f>
        <x:v>Not reported</x:v>
      </x:c>
      <x:c r="F7" s="67" t="str">
        <x:v>Not reported</x:v>
      </x:c>
      <x:c r="G7" s="67" t="n">
        <x:v>6973</x:v>
      </x:c>
      <x:c r="H7" s="76" t="str">
        <x:f>IF(ISNUMBER(F7),IF(F7=G7,"Match","Mismatch"),"Not reported")</x:f>
        <x:v>Not reported</x:v>
      </x:c>
      <x:c r="I7" s="67" t="str">
        <x:v>Not reported</x:v>
      </x:c>
      <x:c r="J7" s="67" t="n">
        <x:v>6853</x:v>
      </x:c>
      <x:c r="K7" s="76" t="str">
        <x:f>IF(ISNUMBER(I7),IF(I7=J7,"Match","Mismatch"),"Not reported")</x:f>
        <x:v>Not reported</x:v>
      </x:c>
      <x:c r="L7" s="67" t="n">
        <x:f>SUM(D7,G7,J7)</x:f>
        <x:v>18994</x:v>
      </x:c>
      <x:c r="M7" s="67" t="n">
        <x:v>18994</x:v>
      </x:c>
      <x:c r="N7" s="67" t="str">
        <x:f>IF(L7=M7,"Additive","Period dedupe / logic")</x:f>
        <x:v>Additive</x:v>
      </x:c>
      <x:c r="O7" s="56" t="str">
        <x:v>QPR provides Q1 total only</x:v>
      </x:c>
    </x:row>
    <x:row r="8" ht="15" hidden="0" customHeight="1">
      <x:c r="A8" s="56" t="str">
        <x:v>1.2</x:v>
      </x:c>
      <x:c r="B8" s="56" t="str">
        <x:v>District Level Workshops</x:v>
      </x:c>
      <x:c r="C8" s="67" t="n">
        <x:v>1</x:v>
      </x:c>
      <x:c r="D8" s="67" t="n">
        <x:v>1</x:v>
      </x:c>
      <x:c r="E8" s="77" t="str">
        <x:f>IF(ISNUMBER(C8),IF(C8=D8,"Match","Mismatch"),"Not reported")</x:f>
        <x:v>Match</x:v>
      </x:c>
      <x:c r="F8" s="67" t="n">
        <x:v>5</x:v>
      </x:c>
      <x:c r="G8" s="67" t="n">
        <x:v>5</x:v>
      </x:c>
      <x:c r="H8" s="77" t="str">
        <x:f>IF(ISNUMBER(F8),IF(F8=G8,"Match","Mismatch"),"Not reported")</x:f>
        <x:v>Match</x:v>
      </x:c>
      <x:c r="I8" s="67" t="n">
        <x:v>7</x:v>
      </x:c>
      <x:c r="J8" s="67" t="n">
        <x:v>9</x:v>
      </x:c>
      <x:c r="K8" s="78" t="str">
        <x:f>IF(ISNUMBER(I8),IF(I8=J8,"Match","Mismatch"),"Not reported")</x:f>
        <x:v>Mismatch</x:v>
      </x:c>
      <x:c r="L8" s="67" t="n">
        <x:f>SUM(D8,G8,J8)</x:f>
        <x:v>15</x:v>
      </x:c>
      <x:c r="M8" s="67" t="n">
        <x:v>15</x:v>
      </x:c>
      <x:c r="N8" s="67" t="str">
        <x:f>IF(L8=M8,"Additive","Period dedupe / logic")</x:f>
        <x:v>Additive</x:v>
      </x:c>
      <x:c r="O8" s="56" t="str">
        <x:v>QPR p.11 — dated district workshop table</x:v>
      </x:c>
    </x:row>
    <x:row r="9" ht="24" hidden="0" customHeight="1">
      <x:c r="A9" s="56" t="str">
        <x:v>1.3</x:v>
      </x:c>
      <x:c r="B9" s="56" t="str">
        <x:v>Awareness cum Outreach activities for SHG members/Potential Lakhpati Didis/SHGs/CBOs</x:v>
      </x:c>
      <x:c r="C9" s="67" t="str">
        <x:v>Not reported</x:v>
      </x:c>
      <x:c r="D9" s="67" t="n">
        <x:v>95</x:v>
      </x:c>
      <x:c r="E9" s="76" t="str">
        <x:f>IF(ISNUMBER(C9),IF(C9=D9,"Match","Mismatch"),"Not reported")</x:f>
        <x:v>Not reported</x:v>
      </x:c>
      <x:c r="F9" s="67" t="str">
        <x:v>Not reported</x:v>
      </x:c>
      <x:c r="G9" s="67" t="n">
        <x:v>178</x:v>
      </x:c>
      <x:c r="H9" s="76" t="str">
        <x:f>IF(ISNUMBER(F9),IF(F9=G9,"Match","Mismatch"),"Not reported")</x:f>
        <x:v>Not reported</x:v>
      </x:c>
      <x:c r="I9" s="67" t="str">
        <x:v>Not reported</x:v>
      </x:c>
      <x:c r="J9" s="67" t="n">
        <x:v>227</x:v>
      </x:c>
      <x:c r="K9" s="76" t="str">
        <x:f>IF(ISNUMBER(I9),IF(I9=J9,"Match","Mismatch"),"Not reported")</x:f>
        <x:v>Not reported</x:v>
      </x:c>
      <x:c r="L9" s="67" t="n">
        <x:f>SUM(D9,G9,J9)</x:f>
        <x:v>500</x:v>
      </x:c>
      <x:c r="M9" s="67" t="n">
        <x:v>500</x:v>
      </x:c>
      <x:c r="N9" s="67" t="str">
        <x:f>IF(L9=M9,"Additive","Period dedupe / logic")</x:f>
        <x:v>Additive</x:v>
      </x:c>
      <x:c r="O9" s="56" t="str">
        <x:v>QPR provides Q1 total only</x:v>
      </x:c>
    </x:row>
    <x:row r="10" ht="15" hidden="0" customHeight="1">
      <x:c r="A10" s="56" t="str">
        <x:v>1.3.1</x:v>
      </x:c>
      <x:c r="B10" s="56" t="str">
        <x:v>Participants in Awareness cum Outreach activities</x:v>
      </x:c>
      <x:c r="C10" s="67" t="str">
        <x:v>Not reported</x:v>
      </x:c>
      <x:c r="D10" s="67" t="n">
        <x:v>1829</x:v>
      </x:c>
      <x:c r="E10" s="76" t="str">
        <x:f>IF(ISNUMBER(C10),IF(C10=D10,"Match","Mismatch"),"Not reported")</x:f>
        <x:v>Not reported</x:v>
      </x:c>
      <x:c r="F10" s="67" t="str">
        <x:v>Not reported</x:v>
      </x:c>
      <x:c r="G10" s="67" t="n">
        <x:v>2638</x:v>
      </x:c>
      <x:c r="H10" s="76" t="str">
        <x:f>IF(ISNUMBER(F10),IF(F10=G10,"Match","Mismatch"),"Not reported")</x:f>
        <x:v>Not reported</x:v>
      </x:c>
      <x:c r="I10" s="67" t="str">
        <x:v>Not reported</x:v>
      </x:c>
      <x:c r="J10" s="67" t="n">
        <x:v>3555</x:v>
      </x:c>
      <x:c r="K10" s="76" t="str">
        <x:f>IF(ISNUMBER(I10),IF(I10=J10,"Match","Mismatch"),"Not reported")</x:f>
        <x:v>Not reported</x:v>
      </x:c>
      <x:c r="L10" s="67" t="n">
        <x:f>SUM(D10,G10,J10)</x:f>
        <x:v>8022</x:v>
      </x:c>
      <x:c r="M10" s="67" t="n">
        <x:v>8022</x:v>
      </x:c>
      <x:c r="N10" s="67" t="str">
        <x:f>IF(L10=M10,"Additive","Period dedupe / logic")</x:f>
        <x:v>Additive</x:v>
      </x:c>
      <x:c r="O10" s="56" t="str">
        <x:v>QPR provides Q1 total only</x:v>
      </x:c>
    </x:row>
    <x:row r="11" ht="15" hidden="0" customHeight="1">
      <x:c r="A11" s="56" t="str">
        <x:v>1.4</x:v>
      </x:c>
      <x:c r="B11" s="56" t="str">
        <x:v>EAP/EDP Sessions</x:v>
      </x:c>
      <x:c r="C11" s="67" t="n">
        <x:v>25</x:v>
      </x:c>
      <x:c r="D11" s="67" t="n">
        <x:v>25</x:v>
      </x:c>
      <x:c r="E11" s="77" t="str">
        <x:f>IF(ISNUMBER(C11),IF(C11=D11,"Match","Mismatch"),"Not reported")</x:f>
        <x:v>Match</x:v>
      </x:c>
      <x:c r="F11" s="67" t="n">
        <x:v>32</x:v>
      </x:c>
      <x:c r="G11" s="67" t="n">
        <x:v>32</x:v>
      </x:c>
      <x:c r="H11" s="77" t="str">
        <x:f>IF(ISNUMBER(F11),IF(F11=G11,"Match","Mismatch"),"Not reported")</x:f>
        <x:v>Match</x:v>
      </x:c>
      <x:c r="I11" s="67" t="n">
        <x:v>29</x:v>
      </x:c>
      <x:c r="J11" s="67" t="n">
        <x:v>29</x:v>
      </x:c>
      <x:c r="K11" s="77" t="str">
        <x:f>IF(ISNUMBER(I11),IF(I11=J11,"Match","Mismatch"),"Not reported")</x:f>
        <x:v>Match</x:v>
      </x:c>
      <x:c r="L11" s="67" t="n">
        <x:f>SUM(D11,G11,J11)</x:f>
        <x:v>86</x:v>
      </x:c>
      <x:c r="M11" s="67" t="n">
        <x:v>86</x:v>
      </x:c>
      <x:c r="N11" s="67" t="str">
        <x:f>IF(L11=M11,"Additive","Period dedupe / logic")</x:f>
        <x:v>Additive</x:v>
      </x:c>
      <x:c r="O11" s="56" t="str">
        <x:v>QPR pp.13–16 — 86 dated EAP/EDP sessions</x:v>
      </x:c>
    </x:row>
    <x:row r="12" ht="24" hidden="0" customHeight="1">
      <x:c r="A12" s="56" t="str">
        <x:v>1.5</x:v>
      </x:c>
      <x:c r="B12" s="56" t="str">
        <x:v>Outreach through Community Organizations</x:v>
      </x:c>
      <x:c r="C12" s="67" t="n">
        <x:v>0</x:v>
      </x:c>
      <x:c r="D12" s="67" t="n">
        <x:v>0</x:v>
      </x:c>
      <x:c r="E12" s="77" t="str">
        <x:f>IF(ISNUMBER(C12),IF(C12=D12,"Match","Mismatch"),"Not reported")</x:f>
        <x:v>Match</x:v>
      </x:c>
      <x:c r="F12" s="67" t="n">
        <x:v>1</x:v>
      </x:c>
      <x:c r="G12" s="67" t="n">
        <x:v>2</x:v>
      </x:c>
      <x:c r="H12" s="78" t="str">
        <x:f>IF(ISNUMBER(F12),IF(F12=G12,"Match","Mismatch"),"Not reported")</x:f>
        <x:v>Mismatch</x:v>
      </x:c>
      <x:c r="I12" s="67" t="n">
        <x:v>7</x:v>
      </x:c>
      <x:c r="J12" s="67" t="n">
        <x:v>8</x:v>
      </x:c>
      <x:c r="K12" s="78" t="str">
        <x:f>IF(ISNUMBER(I12),IF(I12=J12,"Match","Mismatch"),"Not reported")</x:f>
        <x:v>Mismatch</x:v>
      </x:c>
      <x:c r="L12" s="67" t="n">
        <x:f>SUM(D12,G12,J12)</x:f>
        <x:v>10</x:v>
      </x:c>
      <x:c r="M12" s="67" t="n">
        <x:v>10</x:v>
      </x:c>
      <x:c r="N12" s="67" t="str">
        <x:f>IF(L12=M12,"Additive","Period dedupe / logic")</x:f>
        <x:v>Additive</x:v>
      </x:c>
      <x:c r="O12" s="56" t="str">
        <x:v>QPR p.16 — 8 dated community-organization activities</x:v>
      </x:c>
    </x:row>
    <x:row r="13" ht="15" hidden="0" customHeight="1">
      <x:c r="A13" s="56" t="str">
        <x:v>2.1</x:v>
      </x:c>
      <x:c r="B13" s="56" t="str">
        <x:v>Incubatees Onboarded</x:v>
      </x:c>
      <x:c r="C13" s="67" t="str">
        <x:v>Not reported</x:v>
      </x:c>
      <x:c r="D13" s="67" t="n">
        <x:v>764</x:v>
      </x:c>
      <x:c r="E13" s="76" t="str">
        <x:f>IF(ISNUMBER(C13),IF(C13=D13,"Match","Mismatch"),"Not reported")</x:f>
        <x:v>Not reported</x:v>
      </x:c>
      <x:c r="F13" s="67" t="str">
        <x:v>Not reported</x:v>
      </x:c>
      <x:c r="G13" s="67" t="n">
        <x:v>773</x:v>
      </x:c>
      <x:c r="H13" s="76" t="str">
        <x:f>IF(ISNUMBER(F13),IF(F13=G13,"Match","Mismatch"),"Not reported")</x:f>
        <x:v>Not reported</x:v>
      </x:c>
      <x:c r="I13" s="67" t="str">
        <x:v>Not reported</x:v>
      </x:c>
      <x:c r="J13" s="67" t="n">
        <x:v>1310</x:v>
      </x:c>
      <x:c r="K13" s="76" t="str">
        <x:f>IF(ISNUMBER(I13),IF(I13=J13,"Match","Mismatch"),"Not reported")</x:f>
        <x:v>Not reported</x:v>
      </x:c>
      <x:c r="L13" s="67" t="n">
        <x:f>SUM(D13,G13,J13)</x:f>
        <x:v>2847</x:v>
      </x:c>
      <x:c r="M13" s="67" t="n">
        <x:v>2847</x:v>
      </x:c>
      <x:c r="N13" s="67" t="str">
        <x:f>IF(L13=M13,"Additive","Period dedupe / logic")</x:f>
        <x:v>Additive</x:v>
      </x:c>
      <x:c r="O13" s="56" t="str">
        <x:v>QPR provides Q1 total only</x:v>
      </x:c>
    </x:row>
    <x:row r="14" ht="24" hidden="0" customHeight="1">
      <x:c r="A14" s="56" t="str">
        <x:v>2.1.1</x:v>
      </x:c>
      <x:c r="B14" s="56" t="str">
        <x:v>Onboarding of Potential Lakhpati Didi/SHG Members/CBOs</x:v>
      </x:c>
      <x:c r="C14" s="67" t="str">
        <x:v>Not reported</x:v>
      </x:c>
      <x:c r="D14" s="67" t="n">
        <x:v>221</x:v>
      </x:c>
      <x:c r="E14" s="76" t="str">
        <x:f>IF(ISNUMBER(C14),IF(C14=D14,"Match","Mismatch"),"Not reported")</x:f>
        <x:v>Not reported</x:v>
      </x:c>
      <x:c r="F14" s="67" t="str">
        <x:v>Not reported</x:v>
      </x:c>
      <x:c r="G14" s="67" t="n">
        <x:v>294</x:v>
      </x:c>
      <x:c r="H14" s="76" t="str">
        <x:f>IF(ISNUMBER(F14),IF(F14=G14,"Match","Mismatch"),"Not reported")</x:f>
        <x:v>Not reported</x:v>
      </x:c>
      <x:c r="I14" s="67" t="str">
        <x:v>Not reported</x:v>
      </x:c>
      <x:c r="J14" s="67" t="n">
        <x:v>731</x:v>
      </x:c>
      <x:c r="K14" s="76" t="str">
        <x:f>IF(ISNUMBER(I14),IF(I14=J14,"Match","Mismatch"),"Not reported")</x:f>
        <x:v>Not reported</x:v>
      </x:c>
      <x:c r="L14" s="67" t="n">
        <x:f>SUM(D14,G14,J14)</x:f>
        <x:v>1246</x:v>
      </x:c>
      <x:c r="M14" s="67" t="n">
        <x:v>1246</x:v>
      </x:c>
      <x:c r="N14" s="67" t="str">
        <x:f>IF(L14=M14,"Additive","Period dedupe / logic")</x:f>
        <x:v>Additive</x:v>
      </x:c>
      <x:c r="O14" s="56" t="str">
        <x:v>QPR provides Q1 total only</x:v>
      </x:c>
    </x:row>
    <x:row r="15" ht="15" hidden="0" customHeight="1">
      <x:c r="A15" s="56" t="str">
        <x:v>3.1</x:v>
      </x:c>
      <x:c r="B15" s="56" t="str">
        <x:v>Business Skills Training Sessions</x:v>
      </x:c>
      <x:c r="C15" s="67" t="str">
        <x:v>Not reported</x:v>
      </x:c>
      <x:c r="D15" s="67" t="n">
        <x:v>0</x:v>
      </x:c>
      <x:c r="E15" s="76" t="str">
        <x:f>IF(ISNUMBER(C15),IF(C15=D15,"Match","Mismatch"),"Not reported")</x:f>
        <x:v>Not reported</x:v>
      </x:c>
      <x:c r="F15" s="67" t="str">
        <x:v>Not reported</x:v>
      </x:c>
      <x:c r="G15" s="67" t="n">
        <x:v>22</x:v>
      </x:c>
      <x:c r="H15" s="76" t="str">
        <x:f>IF(ISNUMBER(F15),IF(F15=G15,"Match","Mismatch"),"Not reported")</x:f>
        <x:v>Not reported</x:v>
      </x:c>
      <x:c r="I15" s="67" t="str">
        <x:v>Not reported</x:v>
      </x:c>
      <x:c r="J15" s="67" t="n">
        <x:v>31</x:v>
      </x:c>
      <x:c r="K15" s="76" t="str">
        <x:f>IF(ISNUMBER(I15),IF(I15=J15,"Match","Mismatch"),"Not reported")</x:f>
        <x:v>Not reported</x:v>
      </x:c>
      <x:c r="L15" s="67" t="n">
        <x:f>SUM(D15,G15,J15)</x:f>
        <x:v>53</x:v>
      </x:c>
      <x:c r="M15" s="67" t="n">
        <x:v>53</x:v>
      </x:c>
      <x:c r="N15" s="67" t="str">
        <x:f>IF(L15=M15,"Additive","Period dedupe / logic")</x:f>
        <x:v>Additive</x:v>
      </x:c>
      <x:c r="O15" s="56" t="str">
        <x:v>QPR provides Q1 total only</x:v>
      </x:c>
    </x:row>
    <x:row r="16" ht="24" hidden="0" customHeight="1">
      <x:c r="A16" s="56" t="str">
        <x:v>3.2</x:v>
      </x:c>
      <x:c r="B16" s="56" t="str">
        <x:v>Incubatees taken Part in Business Modules Training</x:v>
      </x:c>
      <x:c r="C16" s="67" t="str">
        <x:v>Not reported</x:v>
      </x:c>
      <x:c r="D16" s="67" t="n">
        <x:v>0</x:v>
      </x:c>
      <x:c r="E16" s="76" t="str">
        <x:f>IF(ISNUMBER(C16),IF(C16=D16,"Match","Mismatch"),"Not reported")</x:f>
        <x:v>Not reported</x:v>
      </x:c>
      <x:c r="F16" s="67" t="str">
        <x:v>Not reported</x:v>
      </x:c>
      <x:c r="G16" s="67" t="n">
        <x:v>583</x:v>
      </x:c>
      <x:c r="H16" s="76" t="str">
        <x:f>IF(ISNUMBER(F16),IF(F16=G16,"Match","Mismatch"),"Not reported")</x:f>
        <x:v>Not reported</x:v>
      </x:c>
      <x:c r="I16" s="67" t="str">
        <x:v>Not reported</x:v>
      </x:c>
      <x:c r="J16" s="67" t="n">
        <x:v>997</x:v>
      </x:c>
      <x:c r="K16" s="76" t="str">
        <x:f>IF(ISNUMBER(I16),IF(I16=J16,"Match","Mismatch"),"Not reported")</x:f>
        <x:v>Not reported</x:v>
      </x:c>
      <x:c r="L16" s="67" t="n">
        <x:f>SUM(D16,G16,J16)</x:f>
        <x:v>1580</x:v>
      </x:c>
      <x:c r="M16" s="67" t="n">
        <x:v>1513</x:v>
      </x:c>
      <x:c r="N16" s="67" t="str">
        <x:f>IF(L16=M16,"Additive","Period dedupe / logic")</x:f>
        <x:v>Period dedupe / logic</x:v>
      </x:c>
      <x:c r="O16" s="56" t="str">
        <x:v>QPR provides Q1 total only</x:v>
      </x:c>
    </x:row>
    <x:row r="17" ht="15" hidden="0" customHeight="1">
      <x:c r="A17" s="56" t="str">
        <x:v>3.3</x:v>
      </x:c>
      <x:c r="B17" s="56" t="str">
        <x:v>Technical Trainings to Incubatees</x:v>
      </x:c>
      <x:c r="C17" s="67" t="n">
        <x:v>1</x:v>
      </x:c>
      <x:c r="D17" s="67" t="n">
        <x:v>1</x:v>
      </x:c>
      <x:c r="E17" s="77" t="str">
        <x:f>IF(ISNUMBER(C17),IF(C17=D17,"Match","Mismatch"),"Not reported")</x:f>
        <x:v>Match</x:v>
      </x:c>
      <x:c r="F17" s="67" t="n">
        <x:v>4</x:v>
      </x:c>
      <x:c r="G17" s="67" t="n">
        <x:v>4</x:v>
      </x:c>
      <x:c r="H17" s="77" t="str">
        <x:f>IF(ISNUMBER(F17),IF(F17=G17,"Match","Mismatch"),"Not reported")</x:f>
        <x:v>Match</x:v>
      </x:c>
      <x:c r="I17" s="67" t="n">
        <x:v>4</x:v>
      </x:c>
      <x:c r="J17" s="67" t="n">
        <x:v>4</x:v>
      </x:c>
      <x:c r="K17" s="77" t="str">
        <x:f>IF(ISNUMBER(I17),IF(I17=J17,"Match","Mismatch"),"Not reported")</x:f>
        <x:v>Match</x:v>
      </x:c>
      <x:c r="L17" s="67" t="n">
        <x:f>SUM(D17,G17,J17)</x:f>
        <x:v>9</x:v>
      </x:c>
      <x:c r="M17" s="67" t="n">
        <x:v>9</x:v>
      </x:c>
      <x:c r="N17" s="67" t="str">
        <x:f>IF(L17=M17,"Additive","Period dedupe / logic")</x:f>
        <x:v>Additive</x:v>
      </x:c>
      <x:c r="O17" s="56" t="str">
        <x:v>QPR p.19 — 9 dated technical training sessions</x:v>
      </x:c>
    </x:row>
    <x:row r="18" ht="24" hidden="0" customHeight="1">
      <x:c r="A18" s="56" t="str">
        <x:v>3.3.1</x:v>
      </x:c>
      <x:c r="B18" s="56" t="str">
        <x:v>Technical Trainings to Potential Lakhpati Didis/SHG Members/CBOs</x:v>
      </x:c>
      <x:c r="C18" s="67" t="str">
        <x:v>Not reported</x:v>
      </x:c>
      <x:c r="D18" s="67" t="n">
        <x:v>0</x:v>
      </x:c>
      <x:c r="E18" s="76" t="str">
        <x:f>IF(ISNUMBER(C18),IF(C18=D18,"Match","Mismatch"),"Not reported")</x:f>
        <x:v>Not reported</x:v>
      </x:c>
      <x:c r="F18" s="67" t="str">
        <x:v>Not reported</x:v>
      </x:c>
      <x:c r="G18" s="67" t="n">
        <x:v>1</x:v>
      </x:c>
      <x:c r="H18" s="76" t="str">
        <x:f>IF(ISNUMBER(F18),IF(F18=G18,"Match","Mismatch"),"Not reported")</x:f>
        <x:v>Not reported</x:v>
      </x:c>
      <x:c r="I18" s="67" t="str">
        <x:v>Not reported</x:v>
      </x:c>
      <x:c r="J18" s="67" t="n">
        <x:v>6</x:v>
      </x:c>
      <x:c r="K18" s="76" t="str">
        <x:f>IF(ISNUMBER(I18),IF(I18=J18,"Match","Mismatch"),"Not reported")</x:f>
        <x:v>Not reported</x:v>
      </x:c>
      <x:c r="L18" s="67" t="n">
        <x:f>SUM(D18,G18,J18)</x:f>
        <x:v>7</x:v>
      </x:c>
      <x:c r="M18" s="67" t="n">
        <x:v>7</x:v>
      </x:c>
      <x:c r="N18" s="67" t="str">
        <x:f>IF(L18=M18,"Additive","Period dedupe / logic")</x:f>
        <x:v>Additive</x:v>
      </x:c>
      <x:c r="O18" s="56" t="str">
        <x:v>QPR provides Q1 total only</x:v>
      </x:c>
    </x:row>
    <x:row r="19" ht="24" hidden="0" customHeight="1">
      <x:c r="A19" s="56" t="str">
        <x:v>3.4</x:v>
      </x:c>
      <x:c r="B19" s="56" t="str">
        <x:v>Capacity Building of stakeholders (REAP, USRLM, Other Line department staff)</x:v>
      </x:c>
      <x:c r="C19" s="67" t="str">
        <x:v>Not reported</x:v>
      </x:c>
      <x:c r="D19" s="67" t="n">
        <x:v>0</x:v>
      </x:c>
      <x:c r="E19" s="76" t="str">
        <x:f>IF(ISNUMBER(C19),IF(C19=D19,"Match","Mismatch"),"Not reported")</x:f>
        <x:v>Not reported</x:v>
      </x:c>
      <x:c r="F19" s="67" t="str">
        <x:v>Not reported</x:v>
      </x:c>
      <x:c r="G19" s="67" t="n">
        <x:v>0</x:v>
      </x:c>
      <x:c r="H19" s="76" t="str">
        <x:f>IF(ISNUMBER(F19),IF(F19=G19,"Match","Mismatch"),"Not reported")</x:f>
        <x:v>Not reported</x:v>
      </x:c>
      <x:c r="I19" s="67" t="str">
        <x:v>Not reported</x:v>
      </x:c>
      <x:c r="J19" s="67" t="n">
        <x:v>0</x:v>
      </x:c>
      <x:c r="K19" s="76" t="str">
        <x:f>IF(ISNUMBER(I19),IF(I19=J19,"Match","Mismatch"),"Not reported")</x:f>
        <x:v>Not reported</x:v>
      </x:c>
      <x:c r="L19" s="67" t="n">
        <x:f>SUM(D19,G19,J19)</x:f>
        <x:v>0</x:v>
      </x:c>
      <x:c r="M19" s="67" t="n">
        <x:v>0</x:v>
      </x:c>
      <x:c r="N19" s="67" t="str">
        <x:f>IF(L19=M19,"Additive","Period dedupe / logic")</x:f>
        <x:v>Additive</x:v>
      </x:c>
      <x:c r="O19" s="56" t="str">
        <x:v>QPR provides Q1 total only</x:v>
      </x:c>
    </x:row>
    <x:row r="20" ht="15" hidden="0" customHeight="1">
      <x:c r="A20" s="56" t="str">
        <x:v>4.1.1</x:v>
      </x:c>
      <x:c r="B20" s="56" t="str">
        <x:v>Business Registration</x:v>
      </x:c>
      <x:c r="C20" s="67" t="str">
        <x:v>Not reported</x:v>
      </x:c>
      <x:c r="D20" s="67" t="n">
        <x:v>10</x:v>
      </x:c>
      <x:c r="E20" s="76" t="str">
        <x:f>IF(ISNUMBER(C20),IF(C20=D20,"Match","Mismatch"),"Not reported")</x:f>
        <x:v>Not reported</x:v>
      </x:c>
      <x:c r="F20" s="67" t="str">
        <x:v>Not reported</x:v>
      </x:c>
      <x:c r="G20" s="67" t="n">
        <x:v>446</x:v>
      </x:c>
      <x:c r="H20" s="76" t="str">
        <x:f>IF(ISNUMBER(F20),IF(F20=G20,"Match","Mismatch"),"Not reported")</x:f>
        <x:v>Not reported</x:v>
      </x:c>
      <x:c r="I20" s="67" t="str">
        <x:v>Not reported</x:v>
      </x:c>
      <x:c r="J20" s="67" t="n">
        <x:v>841</x:v>
      </x:c>
      <x:c r="K20" s="76" t="str">
        <x:f>IF(ISNUMBER(I20),IF(I20=J20,"Match","Mismatch"),"Not reported")</x:f>
        <x:v>Not reported</x:v>
      </x:c>
      <x:c r="L20" s="67" t="n">
        <x:f>SUM(D20,G20,J20)</x:f>
        <x:v>1297</x:v>
      </x:c>
      <x:c r="M20" s="67" t="n">
        <x:v>1297</x:v>
      </x:c>
      <x:c r="N20" s="67" t="str">
        <x:f>IF(L20=M20,"Additive","Period dedupe / logic")</x:f>
        <x:v>Additive</x:v>
      </x:c>
      <x:c r="O20" s="56" t="str">
        <x:v>QPR provides Q1 total only</x:v>
      </x:c>
    </x:row>
    <x:row r="21" ht="15" hidden="0" customHeight="1">
      <x:c r="A21" s="56" t="str">
        <x:v>4.2.1</x:v>
      </x:c>
      <x:c r="B21" s="56" t="str">
        <x:v>Artisan Card</x:v>
      </x:c>
      <x:c r="C21" s="67" t="str">
        <x:v>Not reported</x:v>
      </x:c>
      <x:c r="D21" s="67" t="n">
        <x:v>0</x:v>
      </x:c>
      <x:c r="E21" s="76" t="str">
        <x:f>IF(ISNUMBER(C21),IF(C21=D21,"Match","Mismatch"),"Not reported")</x:f>
        <x:v>Not reported</x:v>
      </x:c>
      <x:c r="F21" s="67" t="str">
        <x:v>Not reported</x:v>
      </x:c>
      <x:c r="G21" s="67" t="n">
        <x:v>25</x:v>
      </x:c>
      <x:c r="H21" s="76" t="str">
        <x:f>IF(ISNUMBER(F21),IF(F21=G21,"Match","Mismatch"),"Not reported")</x:f>
        <x:v>Not reported</x:v>
      </x:c>
      <x:c r="I21" s="67" t="str">
        <x:v>Not reported</x:v>
      </x:c>
      <x:c r="J21" s="67" t="n">
        <x:v>73</x:v>
      </x:c>
      <x:c r="K21" s="76" t="str">
        <x:f>IF(ISNUMBER(I21),IF(I21=J21,"Match","Mismatch"),"Not reported")</x:f>
        <x:v>Not reported</x:v>
      </x:c>
      <x:c r="L21" s="67" t="n">
        <x:f>SUM(D21,G21,J21)</x:f>
        <x:v>98</x:v>
      </x:c>
      <x:c r="M21" s="67" t="n">
        <x:v>98</x:v>
      </x:c>
      <x:c r="N21" s="67" t="str">
        <x:f>IF(L21=M21,"Additive","Period dedupe / logic")</x:f>
        <x:v>Additive</x:v>
      </x:c>
      <x:c r="O21" s="56" t="str">
        <x:v>QPR provides Q1 total only</x:v>
      </x:c>
    </x:row>
    <x:row r="22" ht="15" hidden="0" customHeight="1">
      <x:c r="A22" s="56" t="str">
        <x:v>4.2.2</x:v>
      </x:c>
      <x:c r="B22" s="56" t="str">
        <x:v>FSSAI</x:v>
      </x:c>
      <x:c r="C22" s="67" t="str">
        <x:v>Not reported</x:v>
      </x:c>
      <x:c r="D22" s="67" t="n">
        <x:v>1</x:v>
      </x:c>
      <x:c r="E22" s="76" t="str">
        <x:f>IF(ISNUMBER(C22),IF(C22=D22,"Match","Mismatch"),"Not reported")</x:f>
        <x:v>Not reported</x:v>
      </x:c>
      <x:c r="F22" s="67" t="str">
        <x:v>Not reported</x:v>
      </x:c>
      <x:c r="G22" s="67" t="n">
        <x:v>71</x:v>
      </x:c>
      <x:c r="H22" s="76" t="str">
        <x:f>IF(ISNUMBER(F22),IF(F22=G22,"Match","Mismatch"),"Not reported")</x:f>
        <x:v>Not reported</x:v>
      </x:c>
      <x:c r="I22" s="67" t="str">
        <x:v>Not reported</x:v>
      </x:c>
      <x:c r="J22" s="67" t="n">
        <x:v>101</x:v>
      </x:c>
      <x:c r="K22" s="76" t="str">
        <x:f>IF(ISNUMBER(I22),IF(I22=J22,"Match","Mismatch"),"Not reported")</x:f>
        <x:v>Not reported</x:v>
      </x:c>
      <x:c r="L22" s="67" t="n">
        <x:f>SUM(D22,G22,J22)</x:f>
        <x:v>173</x:v>
      </x:c>
      <x:c r="M22" s="67" t="n">
        <x:v>173</x:v>
      </x:c>
      <x:c r="N22" s="67" t="str">
        <x:f>IF(L22=M22,"Additive","Period dedupe / logic")</x:f>
        <x:v>Additive</x:v>
      </x:c>
      <x:c r="O22" s="56" t="str">
        <x:v>QPR provides Q1 total only</x:v>
      </x:c>
    </x:row>
    <x:row r="23" ht="15" hidden="0" customHeight="1">
      <x:c r="A23" s="56" t="str">
        <x:v>4.2.3</x:v>
      </x:c>
      <x:c r="B23" s="56" t="str">
        <x:v>UTDB</x:v>
      </x:c>
      <x:c r="C23" s="67" t="str">
        <x:v>Not reported</x:v>
      </x:c>
      <x:c r="D23" s="67" t="n">
        <x:v>1</x:v>
      </x:c>
      <x:c r="E23" s="76" t="str">
        <x:f>IF(ISNUMBER(C23),IF(C23=D23,"Match","Mismatch"),"Not reported")</x:f>
        <x:v>Not reported</x:v>
      </x:c>
      <x:c r="F23" s="67" t="str">
        <x:v>Not reported</x:v>
      </x:c>
      <x:c r="G23" s="67" t="n">
        <x:v>5</x:v>
      </x:c>
      <x:c r="H23" s="76" t="str">
        <x:f>IF(ISNUMBER(F23),IF(F23=G23,"Match","Mismatch"),"Not reported")</x:f>
        <x:v>Not reported</x:v>
      </x:c>
      <x:c r="I23" s="67" t="str">
        <x:v>Not reported</x:v>
      </x:c>
      <x:c r="J23" s="67" t="n">
        <x:v>16</x:v>
      </x:c>
      <x:c r="K23" s="76" t="str">
        <x:f>IF(ISNUMBER(I23),IF(I23=J23,"Match","Mismatch"),"Not reported")</x:f>
        <x:v>Not reported</x:v>
      </x:c>
      <x:c r="L23" s="67" t="n">
        <x:f>SUM(D23,G23,J23)</x:f>
        <x:v>22</x:v>
      </x:c>
      <x:c r="M23" s="67" t="n">
        <x:v>22</x:v>
      </x:c>
      <x:c r="N23" s="67" t="str">
        <x:f>IF(L23=M23,"Additive","Period dedupe / logic")</x:f>
        <x:v>Additive</x:v>
      </x:c>
      <x:c r="O23" s="56" t="str">
        <x:v>QPR provides Q1 total only</x:v>
      </x:c>
    </x:row>
    <x:row r="24" ht="15" hidden="0" customHeight="1">
      <x:c r="A24" s="56" t="str">
        <x:v>4.2.4</x:v>
      </x:c>
      <x:c r="B24" s="56" t="str">
        <x:v>GST Registration</x:v>
      </x:c>
      <x:c r="C24" s="67" t="str">
        <x:v>Not reported</x:v>
      </x:c>
      <x:c r="D24" s="67" t="n">
        <x:v>0</x:v>
      </x:c>
      <x:c r="E24" s="76" t="str">
        <x:f>IF(ISNUMBER(C24),IF(C24=D24,"Match","Mismatch"),"Not reported")</x:f>
        <x:v>Not reported</x:v>
      </x:c>
      <x:c r="F24" s="67" t="str">
        <x:v>Not reported</x:v>
      </x:c>
      <x:c r="G24" s="67" t="n">
        <x:v>9</x:v>
      </x:c>
      <x:c r="H24" s="76" t="str">
        <x:f>IF(ISNUMBER(F24),IF(F24=G24,"Match","Mismatch"),"Not reported")</x:f>
        <x:v>Not reported</x:v>
      </x:c>
      <x:c r="I24" s="67" t="str">
        <x:v>Not reported</x:v>
      </x:c>
      <x:c r="J24" s="67" t="n">
        <x:v>32</x:v>
      </x:c>
      <x:c r="K24" s="76" t="str">
        <x:f>IF(ISNUMBER(I24),IF(I24=J24,"Match","Mismatch"),"Not reported")</x:f>
        <x:v>Not reported</x:v>
      </x:c>
      <x:c r="L24" s="67" t="n">
        <x:f>SUM(D24,G24,J24)</x:f>
        <x:v>41</x:v>
      </x:c>
      <x:c r="M24" s="67" t="n">
        <x:v>41</x:v>
      </x:c>
      <x:c r="N24" s="67" t="str">
        <x:f>IF(L24=M24,"Additive","Period dedupe / logic")</x:f>
        <x:v>Additive</x:v>
      </x:c>
      <x:c r="O24" s="56" t="str">
        <x:v>QPR provides Q1 total only</x:v>
      </x:c>
    </x:row>
    <x:row r="25" ht="15" hidden="0" customHeight="1">
      <x:c r="A25" s="56" t="str">
        <x:v>4.2.5</x:v>
      </x:c>
      <x:c r="B25" s="56" t="str">
        <x:v>Trademark application filling</x:v>
      </x:c>
      <x:c r="C25" s="67" t="str">
        <x:v>Not reported</x:v>
      </x:c>
      <x:c r="D25" s="67" t="n">
        <x:v>0</x:v>
      </x:c>
      <x:c r="E25" s="76" t="str">
        <x:f>IF(ISNUMBER(C25),IF(C25=D25,"Match","Mismatch"),"Not reported")</x:f>
        <x:v>Not reported</x:v>
      </x:c>
      <x:c r="F25" s="67" t="str">
        <x:v>Not reported</x:v>
      </x:c>
      <x:c r="G25" s="67" t="n">
        <x:v>0</x:v>
      </x:c>
      <x:c r="H25" s="76" t="str">
        <x:f>IF(ISNUMBER(F25),IF(F25=G25,"Match","Mismatch"),"Not reported")</x:f>
        <x:v>Not reported</x:v>
      </x:c>
      <x:c r="I25" s="67" t="str">
        <x:v>Not reported</x:v>
      </x:c>
      <x:c r="J25" s="67" t="n">
        <x:v>3</x:v>
      </x:c>
      <x:c r="K25" s="76" t="str">
        <x:f>IF(ISNUMBER(I25),IF(I25=J25,"Match","Mismatch"),"Not reported")</x:f>
        <x:v>Not reported</x:v>
      </x:c>
      <x:c r="L25" s="67" t="n">
        <x:f>SUM(D25,G25,J25)</x:f>
        <x:v>3</x:v>
      </x:c>
      <x:c r="M25" s="67" t="n">
        <x:v>3</x:v>
      </x:c>
      <x:c r="N25" s="67" t="str">
        <x:f>IF(L25=M25,"Additive","Period dedupe / logic")</x:f>
        <x:v>Additive</x:v>
      </x:c>
      <x:c r="O25" s="56" t="str">
        <x:v>QPR provides Q1 total only</x:v>
      </x:c>
    </x:row>
    <x:row r="26" ht="15" hidden="0" customHeight="1">
      <x:c r="A26" s="56" t="str">
        <x:v>4.2.6</x:v>
      </x:c>
      <x:c r="B26" s="56" t="str">
        <x:v>GI Seller Registration</x:v>
      </x:c>
      <x:c r="C26" s="67" t="str">
        <x:v>Not reported</x:v>
      </x:c>
      <x:c r="D26" s="67" t="n">
        <x:v>0</x:v>
      </x:c>
      <x:c r="E26" s="76" t="str">
        <x:f>IF(ISNUMBER(C26),IF(C26=D26,"Match","Mismatch"),"Not reported")</x:f>
        <x:v>Not reported</x:v>
      </x:c>
      <x:c r="F26" s="67" t="str">
        <x:v>Not reported</x:v>
      </x:c>
      <x:c r="G26" s="67" t="n">
        <x:v>0</x:v>
      </x:c>
      <x:c r="H26" s="76" t="str">
        <x:f>IF(ISNUMBER(F26),IF(F26=G26,"Match","Mismatch"),"Not reported")</x:f>
        <x:v>Not reported</x:v>
      </x:c>
      <x:c r="I26" s="67" t="str">
        <x:v>Not reported</x:v>
      </x:c>
      <x:c r="J26" s="67" t="n">
        <x:v>6</x:v>
      </x:c>
      <x:c r="K26" s="76" t="str">
        <x:f>IF(ISNUMBER(I26),IF(I26=J26,"Match","Mismatch"),"Not reported")</x:f>
        <x:v>Not reported</x:v>
      </x:c>
      <x:c r="L26" s="67" t="n">
        <x:f>SUM(D26,G26,J26)</x:f>
        <x:v>6</x:v>
      </x:c>
      <x:c r="M26" s="67" t="n">
        <x:v>6</x:v>
      </x:c>
      <x:c r="N26" s="67" t="str">
        <x:f>IF(L26=M26,"Additive","Period dedupe / logic")</x:f>
        <x:v>Additive</x:v>
      </x:c>
      <x:c r="O26" s="56" t="str">
        <x:v>QPR provides Q1 total only</x:v>
      </x:c>
    </x:row>
    <x:row r="27" ht="24" hidden="0" customHeight="1">
      <x:c r="A27" s="56" t="str">
        <x:v>4.2.7</x:v>
      </x:c>
      <x:c r="B27" s="56" t="str">
        <x:v>Advance Licensing Support (Mandi Licensing, Lab Test etc.)</x:v>
      </x:c>
      <x:c r="C27" s="67" t="str">
        <x:v>Not reported</x:v>
      </x:c>
      <x:c r="D27" s="67" t="n">
        <x:v>0</x:v>
      </x:c>
      <x:c r="E27" s="76" t="str">
        <x:f>IF(ISNUMBER(C27),IF(C27=D27,"Match","Mismatch"),"Not reported")</x:f>
        <x:v>Not reported</x:v>
      </x:c>
      <x:c r="F27" s="67" t="str">
        <x:v>Not reported</x:v>
      </x:c>
      <x:c r="G27" s="67" t="n">
        <x:v>3</x:v>
      </x:c>
      <x:c r="H27" s="76" t="str">
        <x:f>IF(ISNUMBER(F27),IF(F27=G27,"Match","Mismatch"),"Not reported")</x:f>
        <x:v>Not reported</x:v>
      </x:c>
      <x:c r="I27" s="67" t="str">
        <x:v>Not reported</x:v>
      </x:c>
      <x:c r="J27" s="67" t="n">
        <x:v>7</x:v>
      </x:c>
      <x:c r="K27" s="76" t="str">
        <x:f>IF(ISNUMBER(I27),IF(I27=J27,"Match","Mismatch"),"Not reported")</x:f>
        <x:v>Not reported</x:v>
      </x:c>
      <x:c r="L27" s="67" t="n">
        <x:f>SUM(D27,G27,J27)</x:f>
        <x:v>10</x:v>
      </x:c>
      <x:c r="M27" s="67" t="n">
        <x:v>10</x:v>
      </x:c>
      <x:c r="N27" s="67" t="str">
        <x:f>IF(L27=M27,"Additive","Period dedupe / logic")</x:f>
        <x:v>Additive</x:v>
      </x:c>
      <x:c r="O27" s="56" t="str">
        <x:v>QPR provides Q1 total only</x:v>
      </x:c>
    </x:row>
    <x:row r="28" ht="15" hidden="0" customHeight="1">
      <x:c r="A28" s="56" t="str">
        <x:v>5.1</x:v>
      </x:c>
      <x:c r="B28" s="56" t="str">
        <x:v>Specialized Mentorship Support</x:v>
      </x:c>
      <x:c r="C28" s="67" t="str">
        <x:v>Not reported</x:v>
      </x:c>
      <x:c r="D28" s="67" t="n">
        <x:v>0</x:v>
      </x:c>
      <x:c r="E28" s="76" t="str">
        <x:f>IF(ISNUMBER(C28),IF(C28=D28,"Match","Mismatch"),"Not reported")</x:f>
        <x:v>Not reported</x:v>
      </x:c>
      <x:c r="F28" s="67" t="str">
        <x:v>Not reported</x:v>
      </x:c>
      <x:c r="G28" s="67" t="n">
        <x:v>6</x:v>
      </x:c>
      <x:c r="H28" s="76" t="str">
        <x:f>IF(ISNUMBER(F28),IF(F28=G28,"Match","Mismatch"),"Not reported")</x:f>
        <x:v>Not reported</x:v>
      </x:c>
      <x:c r="I28" s="67" t="str">
        <x:v>Not reported</x:v>
      </x:c>
      <x:c r="J28" s="67" t="n">
        <x:v>78</x:v>
      </x:c>
      <x:c r="K28" s="76" t="str">
        <x:f>IF(ISNUMBER(I28),IF(I28=J28,"Match","Mismatch"),"Not reported")</x:f>
        <x:v>Not reported</x:v>
      </x:c>
      <x:c r="L28" s="67" t="n">
        <x:f>SUM(D28,G28,J28)</x:f>
        <x:v>84</x:v>
      </x:c>
      <x:c r="M28" s="67" t="n">
        <x:v>84</x:v>
      </x:c>
      <x:c r="N28" s="67" t="str">
        <x:f>IF(L28=M28,"Additive","Period dedupe / logic")</x:f>
        <x:v>Additive</x:v>
      </x:c>
      <x:c r="O28" s="56" t="str">
        <x:v>QPR provides Q1 total only</x:v>
      </x:c>
    </x:row>
    <x:row r="29" ht="15" hidden="0" customHeight="1">
      <x:c r="A29" s="56" t="str">
        <x:v>5.2</x:v>
      </x:c>
      <x:c r="B29" s="56" t="str">
        <x:v>Mentorship Support through online portal</x:v>
      </x:c>
      <x:c r="C29" s="67" t="str">
        <x:v>Not reported</x:v>
      </x:c>
      <x:c r="D29" s="67" t="n">
        <x:v>0</x:v>
      </x:c>
      <x:c r="E29" s="76" t="str">
        <x:f>IF(ISNUMBER(C29),IF(C29=D29,"Match","Mismatch"),"Not reported")</x:f>
        <x:v>Not reported</x:v>
      </x:c>
      <x:c r="F29" s="67" t="str">
        <x:v>Not reported</x:v>
      </x:c>
      <x:c r="G29" s="67" t="n">
        <x:v>0</x:v>
      </x:c>
      <x:c r="H29" s="76" t="str">
        <x:f>IF(ISNUMBER(F29),IF(F29=G29,"Match","Mismatch"),"Not reported")</x:f>
        <x:v>Not reported</x:v>
      </x:c>
      <x:c r="I29" s="67" t="str">
        <x:v>Not reported</x:v>
      </x:c>
      <x:c r="J29" s="67" t="n">
        <x:v>0</x:v>
      </x:c>
      <x:c r="K29" s="76" t="str">
        <x:f>IF(ISNUMBER(I29),IF(I29=J29,"Match","Mismatch"),"Not reported")</x:f>
        <x:v>Not reported</x:v>
      </x:c>
      <x:c r="L29" s="67" t="n">
        <x:f>SUM(D29,G29,J29)</x:f>
        <x:v>0</x:v>
      </x:c>
      <x:c r="M29" s="67" t="n">
        <x:v>0</x:v>
      </x:c>
      <x:c r="N29" s="67" t="str">
        <x:f>IF(L29=M29,"Additive","Period dedupe / logic")</x:f>
        <x:v>Additive</x:v>
      </x:c>
      <x:c r="O29" s="56" t="str">
        <x:v>QPR provides Q1 total only</x:v>
      </x:c>
    </x:row>
    <x:row r="30" ht="24" hidden="0" customHeight="1">
      <x:c r="A30" s="56" t="str">
        <x:v>6.1</x:v>
      </x:c>
      <x:c r="B30" s="56" t="str">
        <x:v>No. of Partners outreach — Partnership &amp; Forward Linkages</x:v>
      </x:c>
      <x:c r="C30" s="67" t="str">
        <x:v>Not reported</x:v>
      </x:c>
      <x:c r="D30" s="67" t="n">
        <x:v>2</x:v>
      </x:c>
      <x:c r="E30" s="76" t="str">
        <x:f>IF(ISNUMBER(C30),IF(C30=D30,"Match","Mismatch"),"Not reported")</x:f>
        <x:v>Not reported</x:v>
      </x:c>
      <x:c r="F30" s="67" t="str">
        <x:v>Not reported</x:v>
      </x:c>
      <x:c r="G30" s="67" t="n">
        <x:v>0</x:v>
      </x:c>
      <x:c r="H30" s="76" t="str">
        <x:f>IF(ISNUMBER(F30),IF(F30=G30,"Match","Mismatch"),"Not reported")</x:f>
        <x:v>Not reported</x:v>
      </x:c>
      <x:c r="I30" s="67" t="str">
        <x:v>Not reported</x:v>
      </x:c>
      <x:c r="J30" s="67" t="n">
        <x:v>5</x:v>
      </x:c>
      <x:c r="K30" s="76" t="str">
        <x:f>IF(ISNUMBER(I30),IF(I30=J30,"Match","Mismatch"),"Not reported")</x:f>
        <x:v>Not reported</x:v>
      </x:c>
      <x:c r="L30" s="67" t="n">
        <x:f>SUM(D30,G30,J30)</x:f>
        <x:v>7</x:v>
      </x:c>
      <x:c r="M30" s="67" t="n">
        <x:v>7</x:v>
      </x:c>
      <x:c r="N30" s="67" t="str">
        <x:f>IF(L30=M30,"Additive","Period dedupe / logic")</x:f>
        <x:v>Additive</x:v>
      </x:c>
      <x:c r="O30" s="56" t="str">
        <x:v>QPR provides Q1 total only</x:v>
      </x:c>
    </x:row>
    <x:row r="31" ht="15" hidden="0" customHeight="1">
      <x:c r="A31" s="56" t="str">
        <x:v>6.2</x:v>
      </x:c>
      <x:c r="B31" s="56" t="str">
        <x:v>Marketing Partners Onboarded through LoA/LoI/MoU</x:v>
      </x:c>
      <x:c r="C31" s="67" t="str">
        <x:v>Not reported</x:v>
      </x:c>
      <x:c r="D31" s="67" t="n">
        <x:v>0</x:v>
      </x:c>
      <x:c r="E31" s="76" t="str">
        <x:f>IF(ISNUMBER(C31),IF(C31=D31,"Match","Mismatch"),"Not reported")</x:f>
        <x:v>Not reported</x:v>
      </x:c>
      <x:c r="F31" s="67" t="str">
        <x:v>Not reported</x:v>
      </x:c>
      <x:c r="G31" s="67" t="n">
        <x:v>0</x:v>
      </x:c>
      <x:c r="H31" s="76" t="str">
        <x:f>IF(ISNUMBER(F31),IF(F31=G31,"Match","Mismatch"),"Not reported")</x:f>
        <x:v>Not reported</x:v>
      </x:c>
      <x:c r="I31" s="67" t="str">
        <x:v>Not reported</x:v>
      </x:c>
      <x:c r="J31" s="67" t="n">
        <x:v>3</x:v>
      </x:c>
      <x:c r="K31" s="76" t="str">
        <x:f>IF(ISNUMBER(I31),IF(I31=J31,"Match","Mismatch"),"Not reported")</x:f>
        <x:v>Not reported</x:v>
      </x:c>
      <x:c r="L31" s="67" t="n">
        <x:f>SUM(D31,G31,J31)</x:f>
        <x:v>3</x:v>
      </x:c>
      <x:c r="M31" s="67" t="n">
        <x:v>3</x:v>
      </x:c>
      <x:c r="N31" s="67" t="str">
        <x:f>IF(L31=M31,"Additive","Period dedupe / logic")</x:f>
        <x:v>Additive</x:v>
      </x:c>
      <x:c r="O31" s="56" t="str">
        <x:v>QPR provides Q1 total only</x:v>
      </x:c>
    </x:row>
    <x:row r="32" ht="24" hidden="0" customHeight="1">
      <x:c r="A32" s="56" t="str">
        <x:v>6.3</x:v>
      </x:c>
      <x:c r="B32" s="56" t="str">
        <x:v>Incubatees linked to online/offline Market</x:v>
      </x:c>
      <x:c r="C32" s="67" t="str">
        <x:v>Not reported</x:v>
      </x:c>
      <x:c r="D32" s="67" t="n">
        <x:v>0</x:v>
      </x:c>
      <x:c r="E32" s="76" t="str">
        <x:f>IF(ISNUMBER(C32),IF(C32=D32,"Match","Mismatch"),"Not reported")</x:f>
        <x:v>Not reported</x:v>
      </x:c>
      <x:c r="F32" s="67" t="str">
        <x:v>Not reported</x:v>
      </x:c>
      <x:c r="G32" s="67" t="n">
        <x:v>25</x:v>
      </x:c>
      <x:c r="H32" s="76" t="str">
        <x:f>IF(ISNUMBER(F32),IF(F32=G32,"Match","Mismatch"),"Not reported")</x:f>
        <x:v>Not reported</x:v>
      </x:c>
      <x:c r="I32" s="67" t="str">
        <x:v>Not reported</x:v>
      </x:c>
      <x:c r="J32" s="67" t="n">
        <x:v>139</x:v>
      </x:c>
      <x:c r="K32" s="76" t="str">
        <x:f>IF(ISNUMBER(I32),IF(I32=J32,"Match","Mismatch"),"Not reported")</x:f>
        <x:v>Not reported</x:v>
      </x:c>
      <x:c r="L32" s="67" t="n">
        <x:f>SUM(D32,G32,J32)</x:f>
        <x:v>164</x:v>
      </x:c>
      <x:c r="M32" s="67" t="n">
        <x:v>157</x:v>
      </x:c>
      <x:c r="N32" s="67" t="str">
        <x:f>IF(L32=M32,"Additive","Period dedupe / logic")</x:f>
        <x:v>Period dedupe / logic</x:v>
      </x:c>
      <x:c r="O32" s="56" t="str">
        <x:v>QPR provides Q1 total only</x:v>
      </x:c>
    </x:row>
    <x:row r="33" ht="15" hidden="0" customHeight="1">
      <x:c r="A33" s="56" t="str">
        <x:v>7.1</x:v>
      </x:c>
      <x:c r="B33" s="56" t="str">
        <x:v>No. of Partners outreach — Business Acceleration</x:v>
      </x:c>
      <x:c r="C33" s="67" t="str">
        <x:v>Not reported</x:v>
      </x:c>
      <x:c r="D33" s="67" t="n">
        <x:v>0</x:v>
      </x:c>
      <x:c r="E33" s="76" t="str">
        <x:f>IF(ISNUMBER(C33),IF(C33=D33,"Match","Mismatch"),"Not reported")</x:f>
        <x:v>Not reported</x:v>
      </x:c>
      <x:c r="F33" s="67" t="str">
        <x:v>Not reported</x:v>
      </x:c>
      <x:c r="G33" s="67" t="n">
        <x:v>0</x:v>
      </x:c>
      <x:c r="H33" s="76" t="str">
        <x:f>IF(ISNUMBER(F33),IF(F33=G33,"Match","Mismatch"),"Not reported")</x:f>
        <x:v>Not reported</x:v>
      </x:c>
      <x:c r="I33" s="67" t="str">
        <x:v>Not reported</x:v>
      </x:c>
      <x:c r="J33" s="67" t="n">
        <x:v>0</x:v>
      </x:c>
      <x:c r="K33" s="76" t="str">
        <x:f>IF(ISNUMBER(I33),IF(I33=J33,"Match","Mismatch"),"Not reported")</x:f>
        <x:v>Not reported</x:v>
      </x:c>
      <x:c r="L33" s="67" t="n">
        <x:f>SUM(D33,G33,J33)</x:f>
        <x:v>0</x:v>
      </x:c>
      <x:c r="M33" s="67" t="n">
        <x:v>0</x:v>
      </x:c>
      <x:c r="N33" s="67" t="str">
        <x:f>IF(L33=M33,"Additive","Period dedupe / logic")</x:f>
        <x:v>Additive</x:v>
      </x:c>
      <x:c r="O33" s="56" t="str">
        <x:v>QPR provides Q1 total only</x:v>
      </x:c>
    </x:row>
    <x:row r="34" ht="15" hidden="0" customHeight="1">
      <x:c r="A34" s="56" t="str">
        <x:v>7.2</x:v>
      </x:c>
      <x:c r="B34" s="56" t="str">
        <x:v>Initiation of acceleration and co-incubation services</x:v>
      </x:c>
      <x:c r="C34" s="67" t="str">
        <x:v>Not reported</x:v>
      </x:c>
      <x:c r="D34" s="67" t="n">
        <x:v>0</x:v>
      </x:c>
      <x:c r="E34" s="76" t="str">
        <x:f>IF(ISNUMBER(C34),IF(C34=D34,"Match","Mismatch"),"Not reported")</x:f>
        <x:v>Not reported</x:v>
      </x:c>
      <x:c r="F34" s="67" t="str">
        <x:v>Not reported</x:v>
      </x:c>
      <x:c r="G34" s="67" t="n">
        <x:v>0</x:v>
      </x:c>
      <x:c r="H34" s="76" t="str">
        <x:f>IF(ISNUMBER(F34),IF(F34=G34,"Match","Mismatch"),"Not reported")</x:f>
        <x:v>Not reported</x:v>
      </x:c>
      <x:c r="I34" s="67" t="str">
        <x:v>Not reported</x:v>
      </x:c>
      <x:c r="J34" s="67" t="n">
        <x:v>0</x:v>
      </x:c>
      <x:c r="K34" s="76" t="str">
        <x:f>IF(ISNUMBER(I34),IF(I34=J34,"Match","Mismatch"),"Not reported")</x:f>
        <x:v>Not reported</x:v>
      </x:c>
      <x:c r="L34" s="67" t="n">
        <x:f>SUM(D34,G34,J34)</x:f>
        <x:v>0</x:v>
      </x:c>
      <x:c r="M34" s="67" t="n">
        <x:v>0</x:v>
      </x:c>
      <x:c r="N34" s="67" t="str">
        <x:f>IF(L34=M34,"Additive","Period dedupe / logic")</x:f>
        <x:v>Additive</x:v>
      </x:c>
      <x:c r="O34" s="56" t="str">
        <x:v>QPR provides Q1 total only</x:v>
      </x:c>
    </x:row>
    <x:row r="35" ht="15" hidden="0" customHeight="1">
      <x:c r="A35" s="56" t="str">
        <x:v>8.1</x:v>
      </x:c>
      <x:c r="B35" s="56" t="str">
        <x:v>Schematic Convergence</x:v>
      </x:c>
      <x:c r="C35" s="67" t="str">
        <x:v>Not reported</x:v>
      </x:c>
      <x:c r="D35" s="67" t="n">
        <x:v>0</x:v>
      </x:c>
      <x:c r="E35" s="76" t="str">
        <x:f>IF(ISNUMBER(C35),IF(C35=D35,"Match","Mismatch"),"Not reported")</x:f>
        <x:v>Not reported</x:v>
      </x:c>
      <x:c r="F35" s="67" t="str">
        <x:v>Not reported</x:v>
      </x:c>
      <x:c r="G35" s="67" t="n">
        <x:v>65</x:v>
      </x:c>
      <x:c r="H35" s="76" t="str">
        <x:f>IF(ISNUMBER(F35),IF(F35=G35,"Match","Mismatch"),"Not reported")</x:f>
        <x:v>Not reported</x:v>
      </x:c>
      <x:c r="I35" s="67" t="str">
        <x:v>Not reported</x:v>
      </x:c>
      <x:c r="J35" s="67" t="n">
        <x:v>343</x:v>
      </x:c>
      <x:c r="K35" s="76" t="str">
        <x:f>IF(ISNUMBER(I35),IF(I35=J35,"Match","Mismatch"),"Not reported")</x:f>
        <x:v>Not reported</x:v>
      </x:c>
      <x:c r="L35" s="67" t="n">
        <x:f>SUM(D35,G35,J35)</x:f>
        <x:v>408</x:v>
      </x:c>
      <x:c r="M35" s="67" t="n">
        <x:v>408</x:v>
      </x:c>
      <x:c r="N35" s="67" t="str">
        <x:f>IF(L35=M35,"Additive","Period dedupe / logic")</x:f>
        <x:v>Additive</x:v>
      </x:c>
      <x:c r="O35" s="56" t="str">
        <x:v>QPR provides Q1 total only</x:v>
      </x:c>
    </x:row>
    <x:row r="36" ht="15" hidden="0" customHeight="1">
      <x:c r="A36" s="56" t="str">
        <x:v>8.2</x:v>
      </x:c>
      <x:c r="B36" s="56" t="str">
        <x:v>Support to MUY Incubatee through REAP</x:v>
      </x:c>
      <x:c r="C36" s="67" t="str">
        <x:v>Not reported</x:v>
      </x:c>
      <x:c r="D36" s="67" t="n">
        <x:v>0</x:v>
      </x:c>
      <x:c r="E36" s="76" t="str">
        <x:f>IF(ISNUMBER(C36),IF(C36=D36,"Match","Mismatch"),"Not reported")</x:f>
        <x:v>Not reported</x:v>
      </x:c>
      <x:c r="F36" s="67" t="str">
        <x:v>Not reported</x:v>
      </x:c>
      <x:c r="G36" s="67" t="n">
        <x:v>0</x:v>
      </x:c>
      <x:c r="H36" s="76" t="str">
        <x:f>IF(ISNUMBER(F36),IF(F36=G36,"Match","Mismatch"),"Not reported")</x:f>
        <x:v>Not reported</x:v>
      </x:c>
      <x:c r="I36" s="67" t="str">
        <x:v>Not reported</x:v>
      </x:c>
      <x:c r="J36" s="67" t="n">
        <x:v>28</x:v>
      </x:c>
      <x:c r="K36" s="76" t="str">
        <x:f>IF(ISNUMBER(I36),IF(I36=J36,"Match","Mismatch"),"Not reported")</x:f>
        <x:v>Not reported</x:v>
      </x:c>
      <x:c r="L36" s="67" t="n">
        <x:f>SUM(D36,G36,J36)</x:f>
        <x:v>28</x:v>
      </x:c>
      <x:c r="M36" s="67" t="n">
        <x:v>28</x:v>
      </x:c>
      <x:c r="N36" s="67" t="str">
        <x:f>IF(L36=M36,"Additive","Period dedupe / logic")</x:f>
        <x:v>Additive</x:v>
      </x:c>
      <x:c r="O36" s="56" t="str">
        <x:v>QPR provides Q1 total only</x:v>
      </x:c>
    </x:row>
    <x:row r="37" ht="15" hidden="0" customHeight="1">
      <x:c r="A37" s="56" t="str">
        <x:v>8.3</x:v>
      </x:c>
      <x:c r="B37" s="56" t="str">
        <x:v>Incubatees Pitch Deck Preparation</x:v>
      </x:c>
      <x:c r="C37" s="67" t="str">
        <x:v>Not reported</x:v>
      </x:c>
      <x:c r="D37" s="67" t="n">
        <x:v>0</x:v>
      </x:c>
      <x:c r="E37" s="76" t="str">
        <x:f>IF(ISNUMBER(C37),IF(C37=D37,"Match","Mismatch"),"Not reported")</x:f>
        <x:v>Not reported</x:v>
      </x:c>
      <x:c r="F37" s="67" t="str">
        <x:v>Not reported</x:v>
      </x:c>
      <x:c r="G37" s="67" t="n">
        <x:v>0</x:v>
      </x:c>
      <x:c r="H37" s="76" t="str">
        <x:f>IF(ISNUMBER(F37),IF(F37=G37,"Match","Mismatch"),"Not reported")</x:f>
        <x:v>Not reported</x:v>
      </x:c>
      <x:c r="I37" s="67" t="str">
        <x:v>Not reported</x:v>
      </x:c>
      <x:c r="J37" s="67" t="n">
        <x:v>30</x:v>
      </x:c>
      <x:c r="K37" s="76" t="str">
        <x:f>IF(ISNUMBER(I37),IF(I37=J37,"Match","Mismatch"),"Not reported")</x:f>
        <x:v>Not reported</x:v>
      </x:c>
      <x:c r="L37" s="67" t="n">
        <x:f>SUM(D37,G37,J37)</x:f>
        <x:v>30</x:v>
      </x:c>
      <x:c r="M37" s="67" t="n">
        <x:v>30</x:v>
      </x:c>
      <x:c r="N37" s="67" t="str">
        <x:f>IF(L37=M37,"Additive","Period dedupe / logic")</x:f>
        <x:v>Additive</x:v>
      </x:c>
      <x:c r="O37" s="56" t="str">
        <x:v>QPR provides Q1 total only</x:v>
      </x:c>
    </x:row>
    <x:row r="38" ht="15" hidden="0" customHeight="1">
      <x:c r="A38" s="56" t="str">
        <x:v>8.4</x:v>
      </x:c>
      <x:c r="B38" s="56" t="str">
        <x:v>Demo Days</x:v>
      </x:c>
      <x:c r="C38" s="67" t="str">
        <x:v>Not reported</x:v>
      </x:c>
      <x:c r="D38" s="67" t="n">
        <x:v>0</x:v>
      </x:c>
      <x:c r="E38" s="76" t="str">
        <x:f>IF(ISNUMBER(C38),IF(C38=D38,"Match","Mismatch"),"Not reported")</x:f>
        <x:v>Not reported</x:v>
      </x:c>
      <x:c r="F38" s="67" t="str">
        <x:v>Not reported</x:v>
      </x:c>
      <x:c r="G38" s="67" t="n">
        <x:v>0</x:v>
      </x:c>
      <x:c r="H38" s="76" t="str">
        <x:f>IF(ISNUMBER(F38),IF(F38=G38,"Match","Mismatch"),"Not reported")</x:f>
        <x:v>Not reported</x:v>
      </x:c>
      <x:c r="I38" s="67" t="str">
        <x:v>Not reported</x:v>
      </x:c>
      <x:c r="J38" s="67" t="n">
        <x:v>0</x:v>
      </x:c>
      <x:c r="K38" s="76" t="str">
        <x:f>IF(ISNUMBER(I38),IF(I38=J38,"Match","Mismatch"),"Not reported")</x:f>
        <x:v>Not reported</x:v>
      </x:c>
      <x:c r="L38" s="67" t="n">
        <x:f>SUM(D38,G38,J38)</x:f>
        <x:v>0</x:v>
      </x:c>
      <x:c r="M38" s="67" t="n">
        <x:v>0</x:v>
      </x:c>
      <x:c r="N38" s="67" t="str">
        <x:f>IF(L38=M38,"Additive","Period dedupe / logic")</x:f>
        <x:v>Additive</x:v>
      </x:c>
      <x:c r="O38" s="56" t="str">
        <x:v>QPR provides Q1 total only</x:v>
      </x:c>
    </x:row>
    <x:row r="39" ht="24" hidden="0" customHeight="1">
      <x:c r="A39" s="56" t="str">
        <x:v>8.5</x:v>
      </x:c>
      <x:c r="B39" s="56" t="str">
        <x:v>No. of Partners outreach — Funding &amp; Schematic Convergence</x:v>
      </x:c>
      <x:c r="C39" s="67" t="str">
        <x:v>Not reported</x:v>
      </x:c>
      <x:c r="D39" s="67" t="n">
        <x:v>0</x:v>
      </x:c>
      <x:c r="E39" s="76" t="str">
        <x:f>IF(ISNUMBER(C39),IF(C39=D39,"Match","Mismatch"),"Not reported")</x:f>
        <x:v>Not reported</x:v>
      </x:c>
      <x:c r="F39" s="67" t="str">
        <x:v>Not reported</x:v>
      </x:c>
      <x:c r="G39" s="67" t="n">
        <x:v>0</x:v>
      </x:c>
      <x:c r="H39" s="76" t="str">
        <x:f>IF(ISNUMBER(F39),IF(F39=G39,"Match","Mismatch"),"Not reported")</x:f>
        <x:v>Not reported</x:v>
      </x:c>
      <x:c r="I39" s="67" t="str">
        <x:v>Not reported</x:v>
      </x:c>
      <x:c r="J39" s="67" t="n">
        <x:v>0</x:v>
      </x:c>
      <x:c r="K39" s="76" t="str">
        <x:f>IF(ISNUMBER(I39),IF(I39=J39,"Match","Mismatch"),"Not reported")</x:f>
        <x:v>Not reported</x:v>
      </x:c>
      <x:c r="L39" s="67" t="n">
        <x:f>SUM(D39,G39,J39)</x:f>
        <x:v>0</x:v>
      </x:c>
      <x:c r="M39" s="67" t="n">
        <x:v>0</x:v>
      </x:c>
      <x:c r="N39" s="67" t="str">
        <x:f>IF(L39=M39,"Additive","Period dedupe / logic")</x:f>
        <x:v>Additive</x:v>
      </x:c>
      <x:c r="O39" s="56" t="str">
        <x:v>QPR provides Q1 total only</x:v>
      </x:c>
    </x:row>
    <x:row r="40" ht="15" hidden="0" customHeight="1">
      <x:c r="A40" s="56" t="str">
        <x:v>9.1</x:v>
      </x:c>
      <x:c r="B40" s="56" t="str">
        <x:v>Business Model Canvas</x:v>
      </x:c>
      <x:c r="C40" s="67" t="str">
        <x:v>Not reported</x:v>
      </x:c>
      <x:c r="D40" s="67" t="n">
        <x:v>0</x:v>
      </x:c>
      <x:c r="E40" s="76" t="str">
        <x:f>IF(ISNUMBER(C40),IF(C40=D40,"Match","Mismatch"),"Not reported")</x:f>
        <x:v>Not reported</x:v>
      </x:c>
      <x:c r="F40" s="67" t="str">
        <x:v>Not reported</x:v>
      </x:c>
      <x:c r="G40" s="67" t="n">
        <x:v>377</x:v>
      </x:c>
      <x:c r="H40" s="76" t="str">
        <x:f>IF(ISNUMBER(F40),IF(F40=G40,"Match","Mismatch"),"Not reported")</x:f>
        <x:v>Not reported</x:v>
      </x:c>
      <x:c r="I40" s="67" t="str">
        <x:v>Not reported</x:v>
      </x:c>
      <x:c r="J40" s="67" t="n">
        <x:v>1173</x:v>
      </x:c>
      <x:c r="K40" s="76" t="str">
        <x:f>IF(ISNUMBER(I40),IF(I40=J40,"Match","Mismatch"),"Not reported")</x:f>
        <x:v>Not reported</x:v>
      </x:c>
      <x:c r="L40" s="67" t="n">
        <x:f>SUM(D40,G40,J40)</x:f>
        <x:v>1550</x:v>
      </x:c>
      <x:c r="M40" s="67" t="n">
        <x:v>1550</x:v>
      </x:c>
      <x:c r="N40" s="67" t="str">
        <x:f>IF(L40=M40,"Additive","Period dedupe / logic")</x:f>
        <x:v>Additive</x:v>
      </x:c>
      <x:c r="O40" s="56" t="str">
        <x:v>QPR provides Q1 total only</x:v>
      </x:c>
    </x:row>
    <x:row r="41" ht="24" hidden="0" customHeight="1">
      <x:c r="A41" s="56" t="str">
        <x:v>9.2</x:v>
      </x:c>
      <x:c r="B41" s="56" t="str">
        <x:v>Other Support Services — Labelling, Packaging, Logo Designing, etc.</x:v>
      </x:c>
      <x:c r="C41" s="67" t="str">
        <x:v>Not reported</x:v>
      </x:c>
      <x:c r="D41" s="67" t="n">
        <x:v>0</x:v>
      </x:c>
      <x:c r="E41" s="76" t="str">
        <x:f>IF(ISNUMBER(C41),IF(C41=D41,"Match","Mismatch"),"Not reported")</x:f>
        <x:v>Not reported</x:v>
      </x:c>
      <x:c r="F41" s="67" t="str">
        <x:v>Not reported</x:v>
      </x:c>
      <x:c r="G41" s="67" t="n">
        <x:v>3</x:v>
      </x:c>
      <x:c r="H41" s="76" t="str">
        <x:f>IF(ISNUMBER(F41),IF(F41=G41,"Match","Mismatch"),"Not reported")</x:f>
        <x:v>Not reported</x:v>
      </x:c>
      <x:c r="I41" s="67" t="str">
        <x:v>Not reported</x:v>
      </x:c>
      <x:c r="J41" s="67" t="n">
        <x:v>12</x:v>
      </x:c>
      <x:c r="K41" s="76" t="str">
        <x:f>IF(ISNUMBER(I41),IF(I41=J41,"Match","Mismatch"),"Not reported")</x:f>
        <x:v>Not reported</x:v>
      </x:c>
      <x:c r="L41" s="67" t="n">
        <x:f>SUM(D41,G41,J41)</x:f>
        <x:v>15</x:v>
      </x:c>
      <x:c r="M41" s="67" t="n">
        <x:v>15</x:v>
      </x:c>
      <x:c r="N41" s="67" t="str">
        <x:f>IF(L41=M41,"Additive","Period dedupe / logic")</x:f>
        <x:v>Additive</x:v>
      </x:c>
      <x:c r="O41" s="56" t="str">
        <x:v>QPR provides Q1 total only</x:v>
      </x:c>
    </x:row>
    <x:row r="42" ht="15" hidden="0" customHeight="1">
      <x:c r="A42" s="56" t="str">
        <x:v>10.1</x:v>
      </x:c>
      <x:c r="B42" s="56" t="str">
        <x:v>Social Media Post</x:v>
      </x:c>
      <x:c r="C42" s="67" t="str">
        <x:v>Not reported</x:v>
      </x:c>
      <x:c r="D42" s="67" t="n">
        <x:v>8</x:v>
      </x:c>
      <x:c r="E42" s="76" t="str">
        <x:f>IF(ISNUMBER(C42),IF(C42=D42,"Match","Mismatch"),"Not reported")</x:f>
        <x:v>Not reported</x:v>
      </x:c>
      <x:c r="F42" s="67" t="str">
        <x:v>Not reported</x:v>
      </x:c>
      <x:c r="G42" s="67" t="n">
        <x:v>10</x:v>
      </x:c>
      <x:c r="H42" s="76" t="str">
        <x:f>IF(ISNUMBER(F42),IF(F42=G42,"Match","Mismatch"),"Not reported")</x:f>
        <x:v>Not reported</x:v>
      </x:c>
      <x:c r="I42" s="67" t="str">
        <x:v>Not reported</x:v>
      </x:c>
      <x:c r="J42" s="67" t="n">
        <x:v>10</x:v>
      </x:c>
      <x:c r="K42" s="76" t="str">
        <x:f>IF(ISNUMBER(I42),IF(I42=J42,"Match","Mismatch"),"Not reported")</x:f>
        <x:v>Not reported</x:v>
      </x:c>
      <x:c r="L42" s="67" t="n">
        <x:f>SUM(D42,G42,J42)</x:f>
        <x:v>28</x:v>
      </x:c>
      <x:c r="M42" s="67" t="n">
        <x:v>28</x:v>
      </x:c>
      <x:c r="N42" s="67" t="str">
        <x:f>IF(L42=M42,"Additive","Period dedupe / logic")</x:f>
        <x:v>Additive</x:v>
      </x:c>
      <x:c r="O42" s="56" t="str">
        <x:v>QPR provides Q1 total only</x:v>
      </x:c>
    </x:row>
    <x:row r="43" ht="15" hidden="0" customHeight="1">
      <x:c r="A43" s="56" t="str">
        <x:v>10.2</x:v>
      </x:c>
      <x:c r="B43" s="56" t="str">
        <x:v>Preparation of Case Studies and Testimonials</x:v>
      </x:c>
      <x:c r="C43" s="67" t="str">
        <x:v>Not reported</x:v>
      </x:c>
      <x:c r="D43" s="67" t="n">
        <x:v>0</x:v>
      </x:c>
      <x:c r="E43" s="76" t="str">
        <x:f>IF(ISNUMBER(C43),IF(C43=D43,"Match","Mismatch"),"Not reported")</x:f>
        <x:v>Not reported</x:v>
      </x:c>
      <x:c r="F43" s="67" t="str">
        <x:v>Not reported</x:v>
      </x:c>
      <x:c r="G43" s="67" t="n">
        <x:v>0</x:v>
      </x:c>
      <x:c r="H43" s="76" t="str">
        <x:f>IF(ISNUMBER(F43),IF(F43=G43,"Match","Mismatch"),"Not reported")</x:f>
        <x:v>Not reported</x:v>
      </x:c>
      <x:c r="I43" s="67" t="str">
        <x:v>Not reported</x:v>
      </x:c>
      <x:c r="J43" s="67" t="n">
        <x:v>13</x:v>
      </x:c>
      <x:c r="K43" s="76" t="str">
        <x:f>IF(ISNUMBER(I43),IF(I43=J43,"Match","Mismatch"),"Not reported")</x:f>
        <x:v>Not reported</x:v>
      </x:c>
      <x:c r="L43" s="67" t="n">
        <x:f>SUM(D43,G43,J43)</x:f>
        <x:v>13</x:v>
      </x:c>
      <x:c r="M43" s="67" t="n">
        <x:v>13</x:v>
      </x:c>
      <x:c r="N43" s="67" t="str">
        <x:f>IF(L43=M43,"Additive","Period dedupe / logic")</x:f>
        <x:v>Additive</x:v>
      </x:c>
      <x:c r="O43" s="56" t="str">
        <x:v>QPR provides Q1 total only</x:v>
      </x:c>
    </x:row>
    <x:row r="44" ht="15" hidden="0" customHeight="1">
      <x:c r="A44" s="56" t="str">
        <x:v>10.3</x:v>
      </x:c>
      <x:c r="B44" s="56" t="str">
        <x:v>MUY Newsletter</x:v>
      </x:c>
      <x:c r="C44" s="67" t="str">
        <x:v>Not reported</x:v>
      </x:c>
      <x:c r="D44" s="67" t="n">
        <x:v>0</x:v>
      </x:c>
      <x:c r="E44" s="76" t="str">
        <x:f>IF(ISNUMBER(C44),IF(C44=D44,"Match","Mismatch"),"Not reported")</x:f>
        <x:v>Not reported</x:v>
      </x:c>
      <x:c r="F44" s="67" t="str">
        <x:v>Not reported</x:v>
      </x:c>
      <x:c r="G44" s="67" t="n">
        <x:v>0</x:v>
      </x:c>
      <x:c r="H44" s="76" t="str">
        <x:f>IF(ISNUMBER(F44),IF(F44=G44,"Match","Mismatch"),"Not reported")</x:f>
        <x:v>Not reported</x:v>
      </x:c>
      <x:c r="I44" s="67" t="str">
        <x:v>Not reported</x:v>
      </x:c>
      <x:c r="J44" s="67" t="n">
        <x:v>0</x:v>
      </x:c>
      <x:c r="K44" s="76" t="str">
        <x:f>IF(ISNUMBER(I44),IF(I44=J44,"Match","Mismatch"),"Not reported")</x:f>
        <x:v>Not reported</x:v>
      </x:c>
      <x:c r="L44" s="67" t="n">
        <x:f>SUM(D44,G44,J44)</x:f>
        <x:v>0</x:v>
      </x:c>
      <x:c r="M44" s="67" t="n">
        <x:v>0</x:v>
      </x:c>
      <x:c r="N44" s="67" t="str">
        <x:f>IF(L44=M44,"Additive","Period dedupe / logic")</x:f>
        <x:v>Additive</x:v>
      </x:c>
      <x:c r="O44" s="56" t="str">
        <x:v>QPR provides Q1 total only</x:v>
      </x:c>
    </x:row>
    <x:row r="45" ht="15" hidden="0" customHeight="1">
      <x:c r="A45" s="56" t="str">
        <x:v>10.4</x:v>
      </x:c>
      <x:c r="B45" s="56" t="str">
        <x:v>IEC &amp; Promotional Activities for MUY</x:v>
      </x:c>
      <x:c r="C45" s="67" t="str">
        <x:v>Not reported</x:v>
      </x:c>
      <x:c r="D45" s="67" t="n">
        <x:v>0</x:v>
      </x:c>
      <x:c r="E45" s="76" t="str">
        <x:f>IF(ISNUMBER(C45),IF(C45=D45,"Match","Mismatch"),"Not reported")</x:f>
        <x:v>Not reported</x:v>
      </x:c>
      <x:c r="F45" s="67" t="str">
        <x:v>Not reported</x:v>
      </x:c>
      <x:c r="G45" s="67" t="n">
        <x:v>0</x:v>
      </x:c>
      <x:c r="H45" s="76" t="str">
        <x:f>IF(ISNUMBER(F45),IF(F45=G45,"Match","Mismatch"),"Not reported")</x:f>
        <x:v>Not reported</x:v>
      </x:c>
      <x:c r="I45" s="67" t="str">
        <x:v>Not reported</x:v>
      </x:c>
      <x:c r="J45" s="67" t="n">
        <x:v>0</x:v>
      </x:c>
      <x:c r="K45" s="76" t="str">
        <x:f>IF(ISNUMBER(I45),IF(I45=J45,"Match","Mismatch"),"Not reported")</x:f>
        <x:v>Not reported</x:v>
      </x:c>
      <x:c r="L45" s="67" t="n">
        <x:f>SUM(D45,G45,J45)</x:f>
        <x:v>0</x:v>
      </x:c>
      <x:c r="M45" s="67" t="n">
        <x:v>0</x:v>
      </x:c>
      <x:c r="N45" s="67" t="str">
        <x:f>IF(L45=M45,"Additive","Period dedupe / logic")</x:f>
        <x:v>Additive</x:v>
      </x:c>
      <x:c r="O45" s="56" t="str">
        <x:v>QPR provides Q1 total only</x:v>
      </x:c>
    </x:row>
    <x:row r="46" ht="15" hidden="0" customHeight="1">
      <x:c r="A46" s="56" t="str">
        <x:v>10.5</x:v>
      </x:c>
      <x:c r="B46" s="56" t="str">
        <x:v>Buyer-Seller Meet</x:v>
      </x:c>
      <x:c r="C46" s="67" t="str">
        <x:v>Not reported</x:v>
      </x:c>
      <x:c r="D46" s="67" t="n">
        <x:v>0</x:v>
      </x:c>
      <x:c r="E46" s="76" t="str">
        <x:f>IF(ISNUMBER(C46),IF(C46=D46,"Match","Mismatch"),"Not reported")</x:f>
        <x:v>Not reported</x:v>
      </x:c>
      <x:c r="F46" s="67" t="str">
        <x:v>Not reported</x:v>
      </x:c>
      <x:c r="G46" s="67" t="n">
        <x:v>0</x:v>
      </x:c>
      <x:c r="H46" s="76" t="str">
        <x:f>IF(ISNUMBER(F46),IF(F46=G46,"Match","Mismatch"),"Not reported")</x:f>
        <x:v>Not reported</x:v>
      </x:c>
      <x:c r="I46" s="67" t="str">
        <x:v>Not reported</x:v>
      </x:c>
      <x:c r="J46" s="67" t="n">
        <x:v>0</x:v>
      </x:c>
      <x:c r="K46" s="76" t="str">
        <x:f>IF(ISNUMBER(I46),IF(I46=J46,"Match","Mismatch"),"Not reported")</x:f>
        <x:v>Not reported</x:v>
      </x:c>
      <x:c r="L46" s="67" t="n">
        <x:f>SUM(D46,G46,J46)</x:f>
        <x:v>0</x:v>
      </x:c>
      <x:c r="M46" s="67" t="n">
        <x:v>0</x:v>
      </x:c>
      <x:c r="N46" s="67" t="str">
        <x:f>IF(L46=M46,"Additive","Period dedupe / logic")</x:f>
        <x:v>Additive</x:v>
      </x:c>
      <x:c r="O46" s="56" t="str">
        <x:v>QPR provides Q1 total only</x:v>
      </x:c>
    </x:row>
    <x:row r="47" ht="15" hidden="0" customHeight="1">
      <x:c r="A47" s="56" t="str">
        <x:v>10.6</x:v>
      </x:c>
      <x:c r="B47" s="56" t="str">
        <x:v>Events/Seminars/Workshops</x:v>
      </x:c>
      <x:c r="C47" s="67" t="str">
        <x:v>Not reported</x:v>
      </x:c>
      <x:c r="D47" s="67" t="n">
        <x:v>0</x:v>
      </x:c>
      <x:c r="E47" s="76" t="str">
        <x:f>IF(ISNUMBER(C47),IF(C47=D47,"Match","Mismatch"),"Not reported")</x:f>
        <x:v>Not reported</x:v>
      </x:c>
      <x:c r="F47" s="67" t="str">
        <x:v>Not reported</x:v>
      </x:c>
      <x:c r="G47" s="67" t="n">
        <x:v>0</x:v>
      </x:c>
      <x:c r="H47" s="76" t="str">
        <x:f>IF(ISNUMBER(F47),IF(F47=G47,"Match","Mismatch"),"Not reported")</x:f>
        <x:v>Not reported</x:v>
      </x:c>
      <x:c r="I47" s="67" t="str">
        <x:v>Not reported</x:v>
      </x:c>
      <x:c r="J47" s="67" t="n">
        <x:v>0</x:v>
      </x:c>
      <x:c r="K47" s="76" t="str">
        <x:f>IF(ISNUMBER(I47),IF(I47=J47,"Match","Mismatch"),"Not reported")</x:f>
        <x:v>Not reported</x:v>
      </x:c>
      <x:c r="L47" s="67" t="n">
        <x:f>SUM(D47,G47,J47)</x:f>
        <x:v>0</x:v>
      </x:c>
      <x:c r="M47" s="67" t="n">
        <x:v>0</x:v>
      </x:c>
      <x:c r="N47" s="67" t="str">
        <x:f>IF(L47=M47,"Additive","Period dedupe / logic")</x:f>
        <x:v>Additive</x:v>
      </x:c>
      <x:c r="O47" s="56" t="str">
        <x:v>QPR provides Q1 total only</x:v>
      </x:c>
    </x:row>
    <x:row r="48" ht="24" hidden="0" customHeight="1">
      <x:c r="A48" s="56" t="str">
        <x:v>11.1</x:v>
      </x:c>
      <x:c r="B48" s="56" t="str">
        <x:v>Identification and Submission of Proposal for New Product Development</x:v>
      </x:c>
      <x:c r="C48" s="67" t="str">
        <x:v>Not reported</x:v>
      </x:c>
      <x:c r="D48" s="67" t="n">
        <x:v>0</x:v>
      </x:c>
      <x:c r="E48" s="76" t="str">
        <x:f>IF(ISNUMBER(C48),IF(C48=D48,"Match","Mismatch"),"Not reported")</x:f>
        <x:v>Not reported</x:v>
      </x:c>
      <x:c r="F48" s="67" t="str">
        <x:v>Not reported</x:v>
      </x:c>
      <x:c r="G48" s="67" t="n">
        <x:v>0</x:v>
      </x:c>
      <x:c r="H48" s="76" t="str">
        <x:f>IF(ISNUMBER(F48),IF(F48=G48,"Match","Mismatch"),"Not reported")</x:f>
        <x:v>Not reported</x:v>
      </x:c>
      <x:c r="I48" s="67" t="str">
        <x:v>Not reported</x:v>
      </x:c>
      <x:c r="J48" s="67" t="n">
        <x:v>0</x:v>
      </x:c>
      <x:c r="K48" s="76" t="str">
        <x:f>IF(ISNUMBER(I48),IF(I48=J48,"Match","Mismatch"),"Not reported")</x:f>
        <x:v>Not reported</x:v>
      </x:c>
      <x:c r="L48" s="67" t="n">
        <x:f>SUM(D48,G48,J48)</x:f>
        <x:v>0</x:v>
      </x:c>
      <x:c r="M48" s="67" t="n">
        <x:v>0</x:v>
      </x:c>
      <x:c r="N48" s="67" t="str">
        <x:f>IF(L48=M48,"Additive","Period dedupe / logic")</x:f>
        <x:v>Additive</x:v>
      </x:c>
      <x:c r="O48" s="56" t="str">
        <x:v>QPR provides Q1 total only</x:v>
      </x:c>
    </x:row>
    <x:row r="49" ht="15" hidden="0" customHeight="1">
      <x:c r="A49" s="56" t="str">
        <x:v>12.1</x:v>
      </x:c>
      <x:c r="B49" s="56" t="str">
        <x:v>Stakeholder Consultation Workshop</x:v>
      </x:c>
      <x:c r="C49" s="67" t="str">
        <x:v>Not reported</x:v>
      </x:c>
      <x:c r="D49" s="67" t="n">
        <x:v>0</x:v>
      </x:c>
      <x:c r="E49" s="76" t="str">
        <x:f>IF(ISNUMBER(C49),IF(C49=D49,"Match","Mismatch"),"Not reported")</x:f>
        <x:v>Not reported</x:v>
      </x:c>
      <x:c r="F49" s="67" t="str">
        <x:v>Not reported</x:v>
      </x:c>
      <x:c r="G49" s="67" t="n">
        <x:v>0</x:v>
      </x:c>
      <x:c r="H49" s="76" t="str">
        <x:f>IF(ISNUMBER(F49),IF(F49=G49,"Match","Mismatch"),"Not reported")</x:f>
        <x:v>Not reported</x:v>
      </x:c>
      <x:c r="I49" s="67" t="str">
        <x:v>Not reported</x:v>
      </x:c>
      <x:c r="J49" s="67" t="n">
        <x:v>0</x:v>
      </x:c>
      <x:c r="K49" s="76" t="str">
        <x:f>IF(ISNUMBER(I49),IF(I49=J49,"Match","Mismatch"),"Not reported")</x:f>
        <x:v>Not reported</x:v>
      </x:c>
      <x:c r="L49" s="67" t="n">
        <x:f>SUM(D49,G49,J49)</x:f>
        <x:v>0</x:v>
      </x:c>
      <x:c r="M49" s="67" t="n">
        <x:v>0</x:v>
      </x:c>
      <x:c r="N49" s="67" t="str">
        <x:f>IF(L49=M49,"Additive","Period dedupe / logic")</x:f>
        <x:v>Additive</x:v>
      </x:c>
      <x:c r="O49" s="56" t="str">
        <x:v>QPR provides Q1 total only</x:v>
      </x:c>
    </x:row>
    <x:row r="50" ht="24" hidden="0" customHeight="1">
      <x:c r="A50" s="56" t="str">
        <x:v>12.2</x:v>
      </x:c>
      <x:c r="B50" s="56" t="str">
        <x:v>Meeting of staff with Line Department at Spoke/Hub/State Level</x:v>
      </x:c>
      <x:c r="C50" s="67" t="str">
        <x:v>Not reported</x:v>
      </x:c>
      <x:c r="D50" s="67" t="n">
        <x:v>10</x:v>
      </x:c>
      <x:c r="E50" s="76" t="str">
        <x:f>IF(ISNUMBER(C50),IF(C50=D50,"Match","Mismatch"),"Not reported")</x:f>
        <x:v>Not reported</x:v>
      </x:c>
      <x:c r="F50" s="67" t="str">
        <x:v>Not reported</x:v>
      </x:c>
      <x:c r="G50" s="67" t="n">
        <x:v>58</x:v>
      </x:c>
      <x:c r="H50" s="76" t="str">
        <x:f>IF(ISNUMBER(F50),IF(F50=G50,"Match","Mismatch"),"Not reported")</x:f>
        <x:v>Not reported</x:v>
      </x:c>
      <x:c r="I50" s="67" t="str">
        <x:v>Not reported</x:v>
      </x:c>
      <x:c r="J50" s="67" t="n">
        <x:v>16</x:v>
      </x:c>
      <x:c r="K50" s="76" t="str">
        <x:f>IF(ISNUMBER(I50),IF(I50=J50,"Match","Mismatch"),"Not reported")</x:f>
        <x:v>Not reported</x:v>
      </x:c>
      <x:c r="L50" s="67" t="n">
        <x:f>SUM(D50,G50,J50)</x:f>
        <x:v>84</x:v>
      </x:c>
      <x:c r="M50" s="67" t="n">
        <x:v>84</x:v>
      </x:c>
      <x:c r="N50" s="67" t="str">
        <x:f>IF(L50=M50,"Additive","Period dedupe / logic")</x:f>
        <x:v>Additive</x:v>
      </x:c>
      <x:c r="O50" s="56" t="str">
        <x:v>QPR provides Q1 total only</x:v>
      </x:c>
    </x:row>
  </x:sheetData>
  <x:mergeCells>
    <x:mergeCell ref="A1:O1"/>
    <x:mergeCell ref="A2:O2"/>
    <x:mergeCell ref="A4:O4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4" customHeight="1">
      <x:c r="A1" s="3" t="str">
        <x:v>Method, Definitions &amp; Source Notes</x:v>
      </x:c>
      <x:c r="B1" s="3" t="str">
        <x:v>Method, Definitions &amp; Source Notes</x:v>
      </x:c>
      <x:c r="C1" s="3" t="str">
        <x:v>Method, Definitions &amp; Source Notes</x:v>
      </x:c>
      <x:c r="D1" s="3" t="str">
        <x:v>Method, Definitions &amp; Source Notes</x:v>
      </x:c>
      <x:c r="E1" s="3" t="str">
        <x:v>Method, Definitions &amp; Source Notes</x:v>
      </x:c>
      <x:c r="F1" s="3" t="str">
        <x:v>Method, Definitions &amp; Source Notes</x:v>
      </x:c>
      <x:c r="G1" s="3" t="str">
        <x:v>Method, Definitions &amp; Source Notes</x:v>
      </x:c>
      <x:c r="H1" s="3" t="str">
        <x:v>Method, Definitions &amp; Source Notes</x:v>
      </x:c>
    </x:row>
    <x:row r="2" ht="30" customHeight="1">
      <x:c r="A2" s="7" t="str">
        <x:v>Audit trail for the reconciliation workbook</x:v>
      </x:c>
      <x:c r="B2" s="7" t="str">
        <x:v>Audit trail for the reconciliation workbook</x:v>
      </x:c>
      <x:c r="C2" s="7" t="str">
        <x:v>Audit trail for the reconciliation workbook</x:v>
      </x:c>
      <x:c r="D2" s="7" t="str">
        <x:v>Audit trail for the reconciliation workbook</x:v>
      </x:c>
      <x:c r="E2" s="7" t="str">
        <x:v>Audit trail for the reconciliation workbook</x:v>
      </x:c>
      <x:c r="F2" s="7" t="str">
        <x:v>Audit trail for the reconciliation workbook</x:v>
      </x:c>
      <x:c r="G2" s="7" t="str">
        <x:v>Audit trail for the reconciliation workbook</x:v>
      </x:c>
      <x:c r="H2" s="7" t="str">
        <x:v>Audit trail for the reconciliation workbook</x:v>
      </x:c>
    </x:row>
    <x:row r="4">
      <x:c r="A4" s="9" t="str">
        <x:v>Sources</x:v>
      </x:c>
      <x:c r="B4" s="9" t="str">
        <x:v>Sources</x:v>
      </x:c>
      <x:c r="C4" s="9" t="str">
        <x:v>Sources</x:v>
      </x:c>
      <x:c r="D4" s="9" t="str">
        <x:v>Sources</x:v>
      </x:c>
      <x:c r="E4" s="9" t="str">
        <x:v>Sources</x:v>
      </x:c>
      <x:c r="F4" s="9" t="str">
        <x:v>Sources</x:v>
      </x:c>
      <x:c r="G4" s="9" t="str">
        <x:v>Sources</x:v>
      </x:c>
      <x:c r="H4" s="9" t="str">
        <x:v>Sources</x:v>
      </x:c>
    </x:row>
    <x:row r="5" ht="15" hidden="0" customHeight="1">
      <x:c r="A5" s="52" t="str">
        <x:v>Source</x:v>
      </x:c>
      <x:c r="B5" s="52" t="str">
        <x:v>Use in this workbook</x:v>
      </x:c>
    </x:row>
    <x:row r="6" ht="15" hidden="0" customHeight="1">
      <x:c r="A6" s="56" t="str">
        <x:v>MUY QPR April - June 2026.pdf</x:v>
      </x:c>
      <x:c r="B6" s="56" t="str">
        <x:v>QPR targets and Q1 achievements from pp. 3–5.</x:v>
      </x:c>
    </x:row>
    <x:row r="7" ht="15" hidden="0" customHeight="1">
      <x:c r="A7" s="56" t="str">
        <x:v>QPR p.11</x:v>
      </x:c>
      <x:c r="B7" s="56" t="str">
        <x:v>Month-wise district workshop evidence.</x:v>
      </x:c>
    </x:row>
    <x:row r="8" ht="15" hidden="0" customHeight="1">
      <x:c r="A8" s="56" t="str">
        <x:v>QPR pp.13–16</x:v>
      </x:c>
      <x:c r="B8" s="56" t="str">
        <x:v>Month-wise EAP/EDP session evidence.</x:v>
      </x:c>
    </x:row>
    <x:row r="9" ht="15" hidden="0" customHeight="1">
      <x:c r="A9" s="56" t="str">
        <x:v>QPR p.16</x:v>
      </x:c>
      <x:c r="B9" s="56" t="str">
        <x:v>Month-wise community-organization outreach evidence.</x:v>
      </x:c>
    </x:row>
    <x:row r="10" ht="15" hidden="0" customHeight="1">
      <x:c r="A10" s="56" t="str">
        <x:v>QPR p.19</x:v>
      </x:c>
      <x:c r="B10" s="56" t="str">
        <x:v>Month-wise technical training session evidence.</x:v>
      </x:c>
    </x:row>
    <x:row r="11" ht="24" hidden="0" customHeight="1">
      <x:c r="A11" s="56" t="str">
        <x:v>Live MIS — /phase3/admin/deliverables</x:v>
      </x:c>
      <x:c r="B11" s="56" t="str">
        <x:v>FY 2026–27; Q1, April, May and June filters; statewide scope.</x:v>
      </x:c>
    </x:row>
    <x:row r="12"/>
    <x:row r="13" ht="15" hidden="0" customHeight="1">
      <x:c r="A13" s="9" t="str">
        <x:v>Method and limitations</x:v>
      </x:c>
      <x:c r="B13" s="9" t="str">
        <x:v>Method and limitations</x:v>
      </x:c>
      <x:c r="C13" s="9" t="str">
        <x:v>Method and limitations</x:v>
      </x:c>
      <x:c r="D13" s="9" t="str">
        <x:v>Method and limitations</x:v>
      </x:c>
      <x:c r="E13" s="9" t="str">
        <x:v>Method and limitations</x:v>
      </x:c>
      <x:c r="F13" s="9" t="str">
        <x:v>Method and limitations</x:v>
      </x:c>
      <x:c r="G13" s="9" t="str">
        <x:v>Method and limitations</x:v>
      </x:c>
      <x:c r="H13" s="9" t="str">
        <x:v>Method and limitations</x:v>
      </x:c>
    </x:row>
    <x:row r="14" ht="15" hidden="0" customHeight="1">
      <x:c r="A14" s="79" t="str">
        <x:v>Comparison scope</x:v>
      </x:c>
      <x:c r="B14" s="56" t="str">
        <x:v>Statewide FY 2026–27, Q1 (Apr–Jun 2026), approved/current MIS reporting logic.</x:v>
      </x:c>
      <x:c r="C14" s="80"/>
      <x:c r="D14" s="80"/>
      <x:c r="E14" s="80"/>
      <x:c r="F14" s="80"/>
      <x:c r="G14" s="80"/>
      <x:c r="H14" s="80"/>
    </x:row>
    <x:row r="15" ht="15" hidden="0" customHeight="1">
      <x:c r="A15" s="79" t="str">
        <x:v>Match rule</x:v>
      </x:c>
      <x:c r="B15" s="56" t="str">
        <x:v>Q1 status is Match only when live MIS Q1 achievement equals the QPR achievement exactly.</x:v>
      </x:c>
      <x:c r="C15" s="80"/>
      <x:c r="D15" s="80"/>
      <x:c r="E15" s="80"/>
      <x:c r="F15" s="80"/>
      <x:c r="G15" s="80"/>
      <x:c r="H15" s="80"/>
    </x:row>
    <x:row r="16" ht="15" hidden="0" customHeight="1">
      <x:c r="A16" s="79" t="str">
        <x:v>Monthly rule</x:v>
      </x:c>
      <x:c r="B16" s="56" t="str">
        <x:v>Month status is assessed only when the QPR contains dated source rows for that indicator.</x:v>
      </x:c>
      <x:c r="C16" s="80"/>
      <x:c r="D16" s="80"/>
      <x:c r="E16" s="80"/>
      <x:c r="F16" s="80"/>
      <x:c r="G16" s="80"/>
      <x:c r="H16" s="80"/>
    </x:row>
    <x:row r="17" ht="15" hidden="0" customHeight="1">
      <x:c r="A17" s="79" t="str">
        <x:v>Live data timing</x:v>
      </x:c>
      <x:c r="B17" s="56" t="str">
        <x:v>The QPR was created 10 Jul 2026. Live MIS was read 17 Aug 2026; backdated approvals can legitimately change Q1 totals.</x:v>
      </x:c>
      <x:c r="C17" s="80"/>
      <x:c r="D17" s="80"/>
      <x:c r="E17" s="80"/>
      <x:c r="F17" s="80"/>
      <x:c r="G17" s="80"/>
      <x:c r="H17" s="80"/>
    </x:row>
    <x:row r="18" ht="15" hidden="0" customHeight="1">
      <x:c r="A18" s="79" t="str">
        <x:v>Period deduplication</x:v>
      </x:c>
      <x:c r="B18" s="56" t="str">
        <x:v>For participant/beneficiary indicators, live Q1 may deduplicate across the quarter, so April+May+June can exceed the Q1 total.</x:v>
      </x:c>
      <x:c r="C18" s="80"/>
      <x:c r="D18" s="80"/>
      <x:c r="E18" s="80"/>
      <x:c r="F18" s="80"/>
      <x:c r="G18" s="80"/>
      <x:c r="H18" s="80"/>
    </x:row>
    <x:row r="19" ht="15" hidden="0" customHeight="1">
      <x:c r="A19" s="79" t="str">
        <x:v>QPR internal inconsistency</x:v>
      </x:c>
      <x:c r="B19" s="56" t="str">
        <x:v>Page 18 narrative states 1,473 business-training participants, while its table and the official quantitative summary state 1,337. This workbook uses 1,337.</x:v>
      </x:c>
      <x:c r="C19" s="80"/>
      <x:c r="D19" s="80"/>
      <x:c r="E19" s="80"/>
      <x:c r="F19" s="80"/>
      <x:c r="G19" s="80"/>
      <x:c r="H19" s="80"/>
    </x:row>
    <x:row r="20" ht="15" hidden="0" customHeight="1">
      <x:c r="A20" s="79" t="str">
        <x:v>Indicator naming</x:v>
      </x:c>
      <x:c r="B20" s="56" t="str">
        <x:v>QPR 10.4 'Newspaper Ads and Radio promotion campaigns' maps to live MIS 10.4 'IEC &amp; Promotional Activities for MUY'.</x:v>
      </x:c>
      <x:c r="C20" s="80"/>
      <x:c r="D20" s="80"/>
      <x:c r="E20" s="80"/>
      <x:c r="F20" s="80"/>
      <x:c r="G20" s="80"/>
      <x:c r="H20" s="80"/>
    </x:row>
    <x:row r="21" ht="15" hidden="0" customHeight="1">
      <x:c r="A21" s="79" t="str">
        <x:v>Indicator metadata</x:v>
      </x:c>
      <x:c r="B21" s="56" t="str">
        <x:v>QPR labels 11.1 and 12.1 Non-Key; the current MIS labels them Key. Achievement comparison is still valid.</x:v>
      </x:c>
      <x:c r="C21" s="80"/>
      <x:c r="D21" s="80"/>
      <x:c r="E21" s="80"/>
      <x:c r="F21" s="80"/>
      <x:c r="G21" s="80"/>
      <x:c r="H21" s="80"/>
    </x:row>
    <x:row r="22" ht="15" hidden="0" customHeight="1">
      <x:c r="A22" s="79" t="str">
        <x:v>Major review item</x:v>
      </x:c>
      <x:c r="B22" s="56" t="str">
        <x:v>Indicator 7.2 appears to use a different definition/source: QPR 667 vs live MIS Q1 0. Validate its historical counting methodology.</x:v>
      </x:c>
      <x:c r="C22" s="80"/>
      <x:c r="D22" s="80"/>
      <x:c r="E22" s="80"/>
      <x:c r="F22" s="80"/>
      <x:c r="G22" s="80"/>
      <x:c r="H22" s="80"/>
    </x:row>
    <x:row r="23"/>
    <x:row r="24"/>
  </x:sheetData>
  <x:mergeCells>
    <x:mergeCell ref="A1:H1"/>
    <x:mergeCell ref="A2:H2"/>
    <x:mergeCell ref="A4:H4"/>
    <x:mergeCell ref="B5:H5"/>
    <x:mergeCell ref="B6:H6"/>
    <x:mergeCell ref="B7:H7"/>
    <x:mergeCell ref="B8:H8"/>
    <x:mergeCell ref="B9:H9"/>
    <x:mergeCell ref="B10:H10"/>
    <x:mergeCell ref="B11:H11"/>
    <x:mergeCell ref="A13:H13"/>
    <x:mergeCell ref="B14:H14"/>
    <x:mergeCell ref="B15:H15"/>
    <x:mergeCell ref="B16:H16"/>
    <x:mergeCell ref="B17:H17"/>
    <x:mergeCell ref="B18:H18"/>
    <x:mergeCell ref="B19:H19"/>
    <x:mergeCell ref="B20:H20"/>
    <x:mergeCell ref="B21:H21"/>
    <x:mergeCell ref="B22:H22"/>
  </x:mergeCells>
  <x:pageMargins left="0.7" right="0.7" top="0.75" bottom="0.75" header="0.3" footer="0.3"/>
</x:worksheet>
</file>